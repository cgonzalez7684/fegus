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3.xml" ContentType="application/vnd.openxmlformats-officedocument.spreadsheetml.table+xml"/>
  <Override PartName="/xl/drawings/drawing13.xml" ContentType="application/vnd.openxmlformats-officedocument.drawing+xml"/>
  <Override PartName="/xl/tables/table4.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tables/table5.xml" ContentType="application/vnd.openxmlformats-officedocument.spreadsheetml.table+xml"/>
  <Override PartName="/xl/drawings/drawing16.xml" ContentType="application/vnd.openxmlformats-officedocument.drawing+xml"/>
  <Override PartName="/xl/tables/table6.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drawings/drawing19.xml" ContentType="application/vnd.openxmlformats-officedocument.drawing+xml"/>
  <Override PartName="/xl/tables/table8.xml" ContentType="application/vnd.openxmlformats-officedocument.spreadsheetml.table+xml"/>
  <Override PartName="/xl/comments2.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tables/table9.xml" ContentType="application/vnd.openxmlformats-officedocument.spreadsheetml.table+xml"/>
  <Override PartName="/xl/drawings/drawing22.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25.xml" ContentType="application/vnd.openxmlformats-officedocument.drawing+xml"/>
  <Override PartName="/xl/tables/table12.xml" ContentType="application/vnd.openxmlformats-officedocument.spreadsheetml.table+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tables/table13.xml" ContentType="application/vnd.openxmlformats-officedocument.spreadsheetml.table+xml"/>
  <Override PartName="/xl/drawings/drawing29.xml" ContentType="application/vnd.openxmlformats-officedocument.drawing+xml"/>
  <Override PartName="/xl/tables/table14.xml" ContentType="application/vnd.openxmlformats-officedocument.spreadsheetml.table+xml"/>
  <Override PartName="/xl/drawings/drawing30.xml" ContentType="application/vnd.openxmlformats-officedocument.drawing+xml"/>
  <Override PartName="/xl/tables/table15.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16.xml" ContentType="application/vnd.openxmlformats-officedocument.spreadsheetml.table+xml"/>
  <Override PartName="/xl/drawings/drawing33.xml" ContentType="application/vnd.openxmlformats-officedocument.drawing+xml"/>
  <Override PartName="/xl/tables/table17.xml" ContentType="application/vnd.openxmlformats-officedocument.spreadsheetml.table+xml"/>
  <Override PartName="/xl/drawings/drawing34.xml" ContentType="application/vnd.openxmlformats-officedocument.drawing+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bccr-my.sharepoint.com/personal/camachovd_bccr_fi_cr/Documents/ProyectoNEC2024/Operaciones/Version para 6ta Publicacion/"/>
    </mc:Choice>
  </mc:AlternateContent>
  <xr:revisionPtr revIDLastSave="1431" documentId="13_ncr:1_{8F55BB86-641B-4D86-8C43-4D05F7539501}" xr6:coauthVersionLast="47" xr6:coauthVersionMax="47" xr10:uidLastSave="{C6ABB376-07BD-44CD-95A8-F24F47F942C1}"/>
  <bookViews>
    <workbookView xWindow="-110" yWindow="-110" windowWidth="19420" windowHeight="10420" tabRatio="939" firstSheet="1" activeTab="1" xr2:uid="{AE021A13-1BA2-40AC-A34E-1808B52DA7C7}"/>
  </bookViews>
  <sheets>
    <sheet name="Control Cambios_p_public_ V (2)" sheetId="103" state="hidden" r:id="rId1"/>
    <sheet name="Indice Archivos" sheetId="105" r:id="rId2"/>
    <sheet name="CtrlCambios_vrs_ 6" sheetId="115" r:id="rId3"/>
    <sheet name="BITACORA_vrs 3" sheetId="106" state="veryHidden" r:id="rId4"/>
    <sheet name="INDICE_inventario" sheetId="92" state="veryHidden" r:id="rId5"/>
    <sheet name="BITACORA_vrs 2" sheetId="100" state="veryHidden" r:id="rId6"/>
    <sheet name="OBSERVACIONES" sheetId="98" state="veryHidden" r:id="rId7"/>
    <sheet name="Listas" sheetId="99" state="veryHidden" r:id="rId8"/>
    <sheet name="TABLAS" sheetId="93" state="veryHidden" r:id="rId9"/>
    <sheet name="TIPO_MONEDA" sheetId="94" state="veryHidden" r:id="rId10"/>
    <sheet name="TIPO_COLATERAL_REAL" sheetId="97" state="veryHidden" r:id="rId11"/>
    <sheet name="TIPO_COLATERAL_FINANCIERO" sheetId="96" state="veryHidden" r:id="rId12"/>
    <sheet name="EQUIV_CALIF_AGENCIA_CALIFICADOR" sheetId="95" state="veryHidden" r:id="rId13"/>
    <sheet name="01_Generalidades_Estructura" sheetId="64" r:id="rId14"/>
    <sheet name="01_Generalidades_Campos" sheetId="62" r:id="rId15"/>
    <sheet name="01_Generalidades_Validaciones" sheetId="65" r:id="rId16"/>
    <sheet name="5201_Polizas_Estructura" sheetId="78" r:id="rId17"/>
    <sheet name="5201_Polizas Descripcion" sheetId="79" r:id="rId18"/>
    <sheet name="5201_Polizas Validaciones" sheetId="80" r:id="rId19"/>
    <sheet name="5202_Cartas Credito_Estructura" sheetId="86" r:id="rId20"/>
    <sheet name="5202_Cartas Credito_Descripcion" sheetId="87" r:id="rId21"/>
    <sheet name="5202_Cartas Credito_Validac " sheetId="88" r:id="rId22"/>
    <sheet name="5203_Cedidas_Estructura" sheetId="72" r:id="rId23"/>
    <sheet name="5203_Cedidas_Descripcion" sheetId="76" r:id="rId24"/>
    <sheet name="5203_Cedidas_Validaciones" sheetId="75" r:id="rId25"/>
    <sheet name="5204_Fiduciarias_Estructura" sheetId="68" r:id="rId26"/>
    <sheet name="5204_Fiduciarias_Descripcion" sheetId="67" r:id="rId27"/>
    <sheet name="5204_Fiduciarias_Validaciones" sheetId="71" r:id="rId28"/>
    <sheet name="5205_Reales_Estructura" sheetId="70" r:id="rId29"/>
    <sheet name="5205_Reales_Estructura (nueva)" sheetId="113" state="veryHidden" r:id="rId30"/>
    <sheet name="5205_Reales_Descripcion" sheetId="69" r:id="rId31"/>
    <sheet name="5205_Reales_Descripcion (nueva)" sheetId="114" state="veryHidden" r:id="rId32"/>
    <sheet name="5205_Reales_Validaciones" sheetId="66" r:id="rId33"/>
    <sheet name="5206_Valores Estructura" sheetId="83" r:id="rId34"/>
    <sheet name="5206_Valores_Descripcion" sheetId="84" r:id="rId35"/>
    <sheet name="5206_Valores_Validaciones" sheetId="110" r:id="rId36"/>
    <sheet name="5206_Valores_Validaciones_nulo" sheetId="85" state="veryHidden" r:id="rId37"/>
  </sheets>
  <externalReferences>
    <externalReference r:id="rId38"/>
  </externalReferences>
  <definedNames>
    <definedName name="_xlnm._FilterDatabase" localSheetId="15" hidden="1">'01_Generalidades_Validaciones'!$B$3:$B$20</definedName>
    <definedName name="_xlnm._FilterDatabase" localSheetId="30" hidden="1">'5205_Reales_Descripcion'!$B$5:$G$23</definedName>
    <definedName name="_xlnm._FilterDatabase" localSheetId="31" hidden="1">'5205_Reales_Descripcion (nueva)'!$B$5:$G$29</definedName>
    <definedName name="_xlnm._FilterDatabase" localSheetId="36" hidden="1">'5206_Valores_Validaciones_nulo'!#REF!</definedName>
    <definedName name="_xlnm._FilterDatabase" localSheetId="5" hidden="1">'BITACORA_vrs 2'!$B$4:$I$69</definedName>
    <definedName name="_xlnm._FilterDatabase" localSheetId="3" hidden="1">'BITACORA_vrs 3'!$B$4:$I$69</definedName>
    <definedName name="_xlnm._FilterDatabase" localSheetId="0" hidden="1">'Control Cambios_p_public_ V (2)'!$A$4:$L$41</definedName>
    <definedName name="_xlnm._FilterDatabase" localSheetId="2" hidden="1">'CtrlCambios_vrs_ 6'!$A$4:$H$4</definedName>
    <definedName name="_xlnm._FilterDatabase" localSheetId="7" hidden="1">Listas!$C$4:$C$122</definedName>
    <definedName name="_Toc100318374" localSheetId="10">TIPO_COLATERAL_REAL!$B$2</definedName>
    <definedName name="_Toc100318375" localSheetId="11">TIPO_COLATERAL_FINANCIERO!$B$2</definedName>
    <definedName name="ARCHIVO">TABLAS!$B$39:$F$166</definedName>
    <definedName name="CALIFICACIONES_CP">EQUIV_CALIF_AGENCIA_CALIFICADOR!$B$36:$E$45</definedName>
    <definedName name="CALIFICACIONES_LP">EQUIV_CALIF_AGENCIA_CALIFICADOR!$B$9:$E$32</definedName>
    <definedName name="CLASE_DATO">TABLAS!$B$6:$F$38</definedName>
    <definedName name="COMPORTAMIENTO_PAGO_SBD">TABLAS!$B$561:$F$564</definedName>
    <definedName name="ETAPA">TABLAS!$B$619:$F$621</definedName>
    <definedName name="N17_Gravamenes_Descrip">[1]!N17_Gravamenes_Descripcion[#Data]</definedName>
    <definedName name="N18_Ctas_Cob_No_Asoc_Descrip">[1]!Tabla42[#All]</definedName>
    <definedName name="SECTOR_ECONOMICO">TABLAS!$B$181:$F$214</definedName>
    <definedName name="TIPO_ACTIVIDAD_ECONOMICA">TABLAS!$B$246:$F$560</definedName>
    <definedName name="TIPO_ACTIVIDADES_CAMBIO_CLIMATICO">TABLAS!$B$942:$F$1146</definedName>
    <definedName name="TIPO_ADQUISICION_BIEN">TABLAS!$B$864:$F$870</definedName>
    <definedName name="TIPO_AMBITO_CAMBIO_CLIMATICO">TABLAS!$B$1147:$F$1150</definedName>
    <definedName name="TIPO_ASIGNACION_CALIFICACION">TABLAS!$B$239:$F$241</definedName>
    <definedName name="TIPO_BENEFICIARIO_SBD">TABLAS!$B$565:$F$585</definedName>
    <definedName name="TIPO_BIEN">TABLAS!$B$871:$F$884</definedName>
    <definedName name="TIPO_CANTON">TABLAS!$B$1324:$F$1405</definedName>
    <definedName name="TIPO_CAPACIDAD_PAGO">TABLAS!$B$227:$F$230</definedName>
    <definedName name="TIPO_CARGA_CLASE_DATO">TABLAS!$B$167:$F$171</definedName>
    <definedName name="TIPO_CATALOGO">TABLAS!$B$631:$F$642</definedName>
    <definedName name="TIPO_CATEGORIA_RIESGO_MICROCREDITO_SBD">TABLAS!$B$215:$F$220</definedName>
    <definedName name="TIPO_CATEGORIA_RIESGO_SBD">TABLAS!$B$221:$F$226</definedName>
    <definedName name="TIPO_CLASIFICACION_INSTRUMENTO">TABLAS!$B$1912:$F$1920</definedName>
    <definedName name="TIPO_COLATERAL_REAL">TIPO_COLATERAL_REAL!$B$4:$E$9</definedName>
    <definedName name="TIPO_COMPORTAMIENTO_PAGO">TABLAS!$B$242:$F$245</definedName>
    <definedName name="TIPO_CONDICIONES_ESPECIALES_DEUDOR">TABLAS!$B$231:$F$233</definedName>
    <definedName name="TIPO_CUOTA">TABLAS!$B$1305:$F$1306</definedName>
    <definedName name="TIPO_CUOTA_PRINCIPAL">TABLAS!$B$662:$F$666</definedName>
    <definedName name="TIPO_DEPENDENCIA">TABLAS!$B$1295:$F$1304</definedName>
    <definedName name="TIPO_DEUDOR_SFN">TABLAS!$B$733:$F$744</definedName>
    <definedName name="TIPO_DISTRITO">TABLAS!$B$1406:$F$1895</definedName>
    <definedName name="TIPO_DOCUMENTO_LEGAL">TABLAS!$B$1259:$F$1290</definedName>
    <definedName name="TIPO_ENFOQUE">TABLAS!$B$608:$F$610</definedName>
    <definedName name="TIPO_ESTADO_OPERACION">TABLAS!$B$643:$F$648</definedName>
    <definedName name="TIPO_FUENTE_FINANCIAMIENTO">TABLAS!$B$1200:$F$1213</definedName>
    <definedName name="TIPO_FUENTE_FINANCIAMIENTO_CAMBIO_CLIMATICO">TABLAS!$B$1151:$F$1199</definedName>
    <definedName name="TIPO_GARANTIA">TABLAS!$B$850:$F$859</definedName>
    <definedName name="TIPO_GRADO_GRAVAMENES">TABLAS!$B$1291:$F$1294</definedName>
    <definedName name="TIPO_INDICADOR_GENERADOR_DIVISAS">TABLAS!$B$234:$F$238</definedName>
    <definedName name="TIPO_INDICADOR_GENERADOR_DIVISAS_SBD">TABLAS!$B$1307:$F$1312</definedName>
    <definedName name="TIPO_INDICADOR_INSCRIPCION">TABLAS!$B$860:$F$863</definedName>
    <definedName name="TIPO_INGRESO_DEUDOR">TABLAS!$B$589:$F$607</definedName>
    <definedName name="TIPO_INTERES_REFERENCIA_TASA_VARIABLE">TABLAS!$B$667:$F$684</definedName>
    <definedName name="TIPO_MITIGADOR_RIESGO">TABLAS!$B$1218:$F$1258</definedName>
    <definedName name="TIPO_MODALIDAD_FUENTE_FINANCIAMIENTO">TABLAS!$B$1214:$F$1217</definedName>
    <definedName name="TIPO_MODIFICACION_OPERACION">TABLAS!$B$825:$F$849</definedName>
    <definedName name="TIPO_MOTIVO_BIEN_REALIZABLE_NO_REPORTADO">TABLAS!$B$885:$F$896</definedName>
    <definedName name="TIPO_MOTIVO_OPERACION_ESPECIAL">TABLAS!$B$1313:$F$1316</definedName>
    <definedName name="TIPO_NATURALEZA_GASTO">TABLAS!$B$745:$F$782</definedName>
    <definedName name="TIPO_OPERACION">TABLAS!$B$622:$F$630</definedName>
    <definedName name="TIPO_OPERACION_SFN">TABLAS!$B$728:$F$732</definedName>
    <definedName name="TIPO_ORIGEN_RECURSOS">TABLAS!$B$783:$F$824</definedName>
    <definedName name="TIPO_PERIODICIDAD">TABLAS!$B$649:$F$661</definedName>
    <definedName name="TIPO_PERSONA">TABLAS!$B$172:$F$180</definedName>
    <definedName name="TIPO_POLIZA">TABLAS!$B$1908:$F$1911</definedName>
    <definedName name="TIPO_PROGRAMA_AUTORIZADO_SBD">TABLAS!$B$685:$F$713</definedName>
    <definedName name="TIPO_PROVINCIA">TABLAS!$B$1317:$F$1323</definedName>
    <definedName name="TIPO_RIESGO_CAMBIARIO_DEUDOR">TABLAS!$B$586:$F$588</definedName>
    <definedName name="TIPO_SECTOR_PRIORITARIO_DEUDOR_SBD">TABLAS!$B$714:$F$727</definedName>
    <definedName name="TIPO_SEGMENTO">TABLAS!$B$611:$F$618</definedName>
    <definedName name="TIPO_SUBTEMAS_CAMBIO_CLIMATICO">TABLAS!$B$910:$F$941</definedName>
    <definedName name="TIPO_TEMA_CAMBIO_CLIMÁTICO">TABLAS!$B$897:$F$909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 i="105" l="1"/>
  <c r="F12" i="105"/>
  <c r="E12" i="105"/>
  <c r="G11" i="105"/>
  <c r="F11" i="105"/>
  <c r="E11" i="105"/>
  <c r="G10" i="105"/>
  <c r="F10" i="105"/>
  <c r="E10" i="105"/>
  <c r="G9" i="105"/>
  <c r="F9" i="105"/>
  <c r="E9" i="105"/>
  <c r="G8" i="105"/>
  <c r="F8" i="105"/>
  <c r="E8" i="105"/>
  <c r="G7" i="105"/>
  <c r="F7" i="105"/>
  <c r="E7" i="105"/>
  <c r="G6" i="105"/>
  <c r="F6" i="105"/>
  <c r="E6" i="105"/>
  <c r="H28" i="92" l="1"/>
  <c r="F25" i="92" l="1"/>
  <c r="F19" i="92"/>
  <c r="F22" i="92"/>
  <c r="F28" i="92"/>
  <c r="F16" i="92"/>
  <c r="F13" i="92"/>
  <c r="H22" i="92"/>
  <c r="H25" i="92"/>
  <c r="H19" i="92"/>
  <c r="H13" i="92"/>
  <c r="H16" i="92"/>
  <c r="I5" i="92" l="1"/>
  <c r="G5" i="9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tc={86278528-4A5F-4C28-91E3-13EA1E4D782D}</author>
    <author>tc={4D526EC8-15DD-41D1-ABBF-A54D230DEF2C}</author>
    <author>tc={5B8F4630-3088-4B38-A4B9-655A91ADB7DB}</author>
    <author>tc={DE9A79C5-4A1D-4329-9095-E64B3E31520D}</author>
    <author>tc={81D39019-7A94-4717-BBCE-6BFBE8313E39}</author>
    <author>tc={E99EE439-C82E-43D4-B027-B3DC72315564}</author>
    <author>tc={4D94108B-8815-4E3C-A03C-3A913EB06948}</author>
    <author>tc={EF0E7C9D-C9F5-4DFA-8C57-C62D688C73EB}</author>
    <author>tc={2CECA2F8-46BE-4465-9CAC-748ECBC1B49A}</author>
    <author>tc={3CCBA334-8765-4B50-A964-0578809DB7ED}</author>
    <author>tc={AC62B9A4-D197-4EAF-949D-63EAE082651B}</author>
    <author>tc={631FCED4-AA14-415D-BC99-695E6A533E45}</author>
    <author>tc={2C753EE5-D654-4C9B-A93D-AC043113A7A3}</author>
    <author>tc={52253FCF-FAB1-4574-ACFF-E1EA1D8F9D91}</author>
    <author>tc={3081F9C0-B32E-42DC-900E-654DC3565828}</author>
  </authors>
  <commentList>
    <comment ref="G6" authorId="0" shapeId="0" xr:uid="{86278528-4A5F-4C28-91E3-13EA1E4D782D}">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G7" authorId="1" shapeId="0" xr:uid="{4D526EC8-15DD-41D1-ABBF-A54D230DEF2C}">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G8" authorId="2" shapeId="0" xr:uid="{5B8F4630-3088-4B38-A4B9-655A91ADB7DB}">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G9" authorId="3" shapeId="0" xr:uid="{DE9A79C5-4A1D-4329-9095-E64B3E31520D}">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G10" authorId="4" shapeId="0" xr:uid="{81D39019-7A94-4717-BBCE-6BFBE8313E39}">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G11" authorId="5" shapeId="0" xr:uid="{E99EE439-C82E-43D4-B027-B3DC72315564}">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G12" authorId="6" shapeId="0" xr:uid="{4D94108B-8815-4E3C-A03C-3A913EB06948}">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del Popular</t>
      </text>
    </comment>
    <comment ref="C20" authorId="7" shapeId="0" xr:uid="{EF0E7C9D-C9F5-4DFA-8C57-C62D688C73EB}">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Los 3 campos si vienen en los archivos a lo que me refiero es que el campo en específico CodigoCalificacionRiesgo viene como no Requerido u OBLIGATORIO y debería ser Requerido  - OBLIGATORIO. Favor Revisar @ARCE LOAIZA LEONEL </t>
      </text>
    </comment>
    <comment ref="H20" authorId="8" shapeId="0" xr:uid="{2CECA2F8-46BE-4465-9CAC-748ECBC1B49A}">
      <text>
        <t>[Comentario encadenado]
Su versión de Excel le permite leer este comentario encadenado; sin embargo, las ediciones que se apliquen se quitarán si el archivo se abre en una versión más reciente de Excel. Más información: https://go.microsoft.com/fwlink/?linkid=870924
Comentario:
    Favo de revisar el comentario incluido en la consulta.
Respuesta:
    Favor revisar nuevamente</t>
      </text>
    </comment>
    <comment ref="C26" authorId="9" shapeId="0" xr:uid="{3CCBA334-8765-4B50-A964-0578809DB7ED}">
      <text>
        <t>[Comentario encadenado]
Su versión de Excel le permite leer este comentario encadenado; sin embargo, las ediciones que se apliquen se quitarán si el archivo se abre en una versión más reciente de Excel. Más información: https://go.microsoft.com/fwlink/?linkid=870924
Comentario:
    Estimado compañero, este archivo tiene la numerción 5115 y se encuentra ahora en el archivo de Operaciones.</t>
      </text>
    </comment>
    <comment ref="C50" authorId="10" shapeId="0" xr:uid="{AC62B9A4-D197-4EAF-949D-63EAE082651B}">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@CARLOS ALBERTO FERNANDEZ ROJAS listo</t>
      </text>
    </comment>
    <comment ref="C51" authorId="11" shapeId="0" xr:uid="{631FCED4-AA14-415D-BC99-695E6A533E45}">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Respuesta:
    Atendida.   Se elimina val 6 de Facturas cedidas.</t>
      </text>
    </comment>
    <comment ref="C55" authorId="12" shapeId="0" xr:uid="{2C753EE5-D654-4C9B-A93D-AC043113A7A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@EDDY GERARDO NUÑEZ SALAZAR </t>
      </text>
    </comment>
    <comment ref="C58" authorId="13" shapeId="0" xr:uid="{52253FCF-FAB1-4574-ACFF-E1EA1D8F9D9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@CARLOS ALBERTO FERNANDEZ ROJAS </t>
      </text>
    </comment>
    <comment ref="C60" authorId="14" shapeId="0" xr:uid="{3081F9C0-B32E-42DC-900E-654DC356582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SEQUEIRA DITTEL PABLO</author>
  </authors>
  <commentList>
    <comment ref="G5" authorId="0" shapeId="0" xr:uid="{D5996BD5-7F26-4BC7-96E6-25D658B2DA42}">
      <text>
        <r>
          <rPr>
            <b/>
            <sz val="9"/>
            <color indexed="81"/>
            <rFont val="Tahoma"/>
            <family val="2"/>
          </rPr>
          <t>Si la validación  ya existia se detalla el cambio realizado.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SEQUEIRA DITTEL PABLO</author>
  </authors>
  <commentList>
    <comment ref="G5" authorId="0" shapeId="0" xr:uid="{BB31AEA5-58CC-41BB-9A5B-34AAA460C68D}">
      <text>
        <r>
          <rPr>
            <b/>
            <sz val="9"/>
            <color indexed="81"/>
            <rFont val="Tahoma"/>
            <family val="2"/>
          </rPr>
          <t>Si la validación  ya existia se detalla el cambio realizado.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SANCHEZ CERDAS RODOLFO</author>
  </authors>
  <commentList>
    <comment ref="G13" authorId="0" shapeId="0" xr:uid="{8025D740-3415-4E60-A6FC-53AE39F4C7FA}">
      <text>
        <r>
          <rPr>
            <b/>
            <sz val="9"/>
            <color indexed="81"/>
            <rFont val="Tahoma"/>
            <family val="2"/>
          </rPr>
          <t>SANCHEZ CERDAS RODOLFO:</t>
        </r>
        <r>
          <rPr>
            <sz val="9"/>
            <color indexed="81"/>
            <rFont val="Tahoma"/>
            <family val="2"/>
          </rPr>
          <t xml:space="preserve">
Aclarar que esto es únicamente para los casos de avales de FONADE y FODEMIPYME</t>
        </r>
      </text>
    </comment>
  </commentList>
</comments>
</file>

<file path=xl/sharedStrings.xml><?xml version="1.0" encoding="utf-8"?>
<sst xmlns="http://schemas.openxmlformats.org/spreadsheetml/2006/main" count="9216" uniqueCount="4438">
  <si>
    <t>Recopilación de cambios al documento publicado el 30 de junio, 2022.</t>
  </si>
  <si>
    <t>Fecha</t>
  </si>
  <si>
    <t>Nombre del Archivo</t>
  </si>
  <si>
    <t>Cambio en:</t>
  </si>
  <si>
    <t>Descripción del cambio</t>
  </si>
  <si>
    <t>Número de validación cuando aplique</t>
  </si>
  <si>
    <t>Validación anterior</t>
  </si>
  <si>
    <t>Nueva validación.</t>
  </si>
  <si>
    <t>5202_Garantias_Polizas</t>
  </si>
  <si>
    <t>Descripción</t>
  </si>
  <si>
    <t>A la descripción de (los) campo(s)  "TipoPersonaBeneficiario " se le agrega el siguiente texto: (, y éste solo solo puede ser: 1 ó 2 ó 3 ó 4 ó 5 ó 6 ó 13.)</t>
  </si>
  <si>
    <t>no aplica</t>
  </si>
  <si>
    <t>5203_GarantiasCartasCredito</t>
  </si>
  <si>
    <t>A la descripción de (los) campo(s)  "TipoPersona" se le agrega el siguiente texto: (, y éste solo solo puede ser: 1 ó 2 ó 3 ó 4 ó 5 ó 6 ó 13.)</t>
  </si>
  <si>
    <t>Validaciones</t>
  </si>
  <si>
    <t>5204_GarantiasFacturadasCedidas</t>
  </si>
  <si>
    <t>5205_GarantiasFiduciarias</t>
  </si>
  <si>
    <t>Revisar con Rodolfo.</t>
  </si>
  <si>
    <t>5206_GarantiasReales</t>
  </si>
  <si>
    <t>A la descripción de (los) campo(s)  "TipoPersonaTasador, TipoPersonaEmpresaTasadora" se le agrega el siguiente texto: (, y éste solo solo puede ser: 1 ó 2 ó 3 ó 4 ó 5 ó 6 ó 13.)</t>
  </si>
  <si>
    <t>5207_GarantiasValores</t>
  </si>
  <si>
    <t>Validación</t>
  </si>
  <si>
    <t>Se eliminan las validaciones de la (6 a la 91); aplica la validación general número 3.</t>
  </si>
  <si>
    <t>De la 6 a la 91</t>
  </si>
  <si>
    <t>se eliminan</t>
  </si>
  <si>
    <t>Prevalece la validación núnero 3.</t>
  </si>
  <si>
    <t>Se eliminan las validaciones de la (2 a la 95)</t>
  </si>
  <si>
    <t>De la 2a la 95</t>
  </si>
  <si>
    <t>Prevalece la validación núnero 4.</t>
  </si>
  <si>
    <t>Se eliminan las validaciones de (14, 15, 16, 17, 18); aplica la validación general número 11.</t>
  </si>
  <si>
    <t>De la 14 a la 18.</t>
  </si>
  <si>
    <t>Prevalece la validación núnero 11.</t>
  </si>
  <si>
    <t>Se eliminan las validaciones de la (110 a 150); aplica la validación general número 22.</t>
  </si>
  <si>
    <t>De la 110 a la 150.</t>
  </si>
  <si>
    <t>Se eliminan las validaciones de la (24 a 109); aplica la validación general número 14.</t>
  </si>
  <si>
    <t>De la 24 a 109.</t>
  </si>
  <si>
    <t>Se eliminan las validaciones de la (6 a 91); aplica la validación general número 3.</t>
  </si>
  <si>
    <t>De la 6 a la 91.</t>
  </si>
  <si>
    <t>Se modifica validación, se le integra Id para identificar el Fondo Fodemypime.</t>
  </si>
  <si>
    <r>
      <rPr>
        <strike/>
        <sz val="11"/>
        <color theme="1"/>
        <rFont val="Calibri"/>
        <family val="2"/>
        <scheme val="minor"/>
      </rPr>
      <t>Los campos “TipoPersona” y “"IdFiador"” deben corresponder con el padrón de personas de la SUGEF, excepto cuando el "IdFiador" corresponde a FODEMIPYME. Los valores del campo “TipoPersona” deben corresponder con los códigos indicados en la Tabla “Tipo_Persona”</t>
    </r>
    <r>
      <rPr>
        <sz val="11"/>
        <color theme="1"/>
        <rFont val="Calibri"/>
        <family val="2"/>
        <scheme val="minor"/>
      </rPr>
      <t>.</t>
    </r>
  </si>
  <si>
    <r>
      <t xml:space="preserve">Los campos “TipoPersona” y “"IdFiador"” deben corresponder con el padrón de personas de la SUGEF, excepto cuando el "IdFiador" corresponde a FODEMIPYME </t>
    </r>
    <r>
      <rPr>
        <b/>
        <sz val="11"/>
        <color rgb="FF00B050"/>
        <rFont val="Calibri"/>
        <family val="2"/>
        <scheme val="minor"/>
      </rPr>
      <t>(4000042152)</t>
    </r>
    <r>
      <rPr>
        <sz val="11"/>
        <color theme="1"/>
        <rFont val="Calibri"/>
        <family val="2"/>
        <scheme val="minor"/>
      </rPr>
      <t>. Los valores del campo “TipoPersona” deben corresponder con los códigos indicados en la Tabla “Tipo_Persona”.</t>
    </r>
  </si>
  <si>
    <t>Se elimina la validación.  El control se integró a nivel del XSD.</t>
  </si>
  <si>
    <t>Se eliminan las validaciones del archivo de Garantías Fiduciarias y se se trasladan al archivo de Garantías de Operaciones.</t>
  </si>
  <si>
    <t>7; 8; 9; 10 y 11</t>
  </si>
  <si>
    <t>Se eliminan la validaciones del archivo de Garantías Reales  y se traslada al archivo de Garantías de Operaciones.</t>
  </si>
  <si>
    <t>Se eliminan la validaciones del archivo de Garantías Valores  y se traslada al archivo de Garantías de Operaciones.</t>
  </si>
  <si>
    <t>Se modifica nombre de uno de los campos que hace referencia la validación</t>
  </si>
  <si>
    <t>El "IdGarantia" de este archivo, debe existir en el campo "IdGarantiaReal" y  tener una "S" en el campo "PolizaGarantiaReal" del Archivo Garantías Reales.</t>
  </si>
  <si>
    <r>
      <t>El "IdGarantia" de este archivo, debe existir en el campo "IdGarantiaReal" y  tener una "S" en el campo "</t>
    </r>
    <r>
      <rPr>
        <b/>
        <sz val="12"/>
        <color rgb="FF00B050"/>
        <rFont val="Calibri"/>
        <family val="2"/>
        <scheme val="minor"/>
      </rPr>
      <t>Indicador</t>
    </r>
    <r>
      <rPr>
        <sz val="11"/>
        <color theme="1"/>
        <rFont val="Calibri"/>
        <family val="2"/>
        <scheme val="minor"/>
      </rPr>
      <t>PolizaGarantiaReal" del Archivo Garantías Reales.</t>
    </r>
  </si>
  <si>
    <t>Se modifica la validación,se le agrega texto.</t>
  </si>
  <si>
    <t>Los campos “CodigoCalificacionRiesgo”, “CodigoEmpresaCalificadora” y “CategoriaCalificacion” deben corresponder con los valores de la tabla "Equivalencia_Calificaciones_Agencias_Calificadoras".</t>
  </si>
  <si>
    <r>
      <t xml:space="preserve">Los campos “CodigoCalificacionRiesgo”, “CodigoEmpresaCalificadora” y “CategoriaCalificacion” deben corresponder con los valores de la tabla "Equivalencia_Calificaciones_Agencias_Calificadoras" </t>
    </r>
    <r>
      <rPr>
        <sz val="11"/>
        <color rgb="FF00B050"/>
        <rFont val="Calibri"/>
        <family val="2"/>
        <scheme val="minor"/>
      </rPr>
      <t>y estos VALORES deben estar activos.</t>
    </r>
  </si>
  <si>
    <t>Estructura</t>
  </si>
  <si>
    <t>Se elimina la validación número 3; ya esta considerado en la validación número 1.</t>
  </si>
  <si>
    <t>Se elimina la validación.</t>
  </si>
  <si>
    <t>Estructura, Descripción y Validaciones</t>
  </si>
  <si>
    <t xml:space="preserve"> a) En  "Estructura" Se eliman los siguientes campos: &lt;TipoAsignacionCalificacion/&gt;,      &lt;CategoriaCalificacion/&gt;,      &lt;CodigoCalificacionRiesgo/&gt;,      &lt;CodigoEmpresaCalificadora/&gt;.
b) En estructura, al  campo "PorcentajeAjusteRc", en la columna "Obligatirio" se  mofica de "No" a "Si",  y se modifica la redacción de la descripción. 
c)   En validaciones, se eliminan las validaciones relacionadas a estos campos, validaciones 2, 3, 4 y 16..</t>
  </si>
  <si>
    <t>2, 3, 4 y 16</t>
  </si>
  <si>
    <t>Se eliminan validaciones</t>
  </si>
  <si>
    <t>Se incluye nueva validación</t>
  </si>
  <si>
    <t>El valor del campo "PorcentajeAjusteRc" debe ser 40% </t>
  </si>
  <si>
    <t xml:space="preserve"> </t>
  </si>
  <si>
    <t>Se descarga el archivo para efecto de publicación.</t>
  </si>
  <si>
    <t>+</t>
  </si>
  <si>
    <t>Recopilación de cambios al documento publicado el 29 setiembre 2023 versión 4.
Son aplicables para la versión 5</t>
  </si>
  <si>
    <t>Número de validación 
cuando aplique.
Nota: En cada hoja de validaciones, las marcadas en rojo y con el texto tachado, corresponde a validaciones eliminadas</t>
  </si>
  <si>
    <t>Favor de incluir los comentario a los documentos</t>
  </si>
  <si>
    <t>Detalle de la observación</t>
  </si>
  <si>
    <t>Nombre del archivo</t>
  </si>
  <si>
    <t>Número de validación</t>
  </si>
  <si>
    <t>Quién realiza la observación</t>
  </si>
  <si>
    <t xml:space="preserve">Indicar el estado
Pendiente; atendida; </t>
  </si>
  <si>
    <t>Quién atiende la observación</t>
  </si>
  <si>
    <t>5206 / GarantiasValores</t>
  </si>
  <si>
    <t>Bryan</t>
  </si>
  <si>
    <t>Atendida SICVECA</t>
  </si>
  <si>
    <t>5205 / GarantiasReales</t>
  </si>
  <si>
    <t>Estructura y Descripción</t>
  </si>
  <si>
    <t>Rodolfo</t>
  </si>
  <si>
    <t>5204 / GarantiasFiduciarias</t>
  </si>
  <si>
    <t>Atendida T.I.</t>
  </si>
  <si>
    <t>5203 / GarantiasFacturasCed</t>
  </si>
  <si>
    <t>Carlos Alberto</t>
  </si>
  <si>
    <t>5201 / Garantias_Polizas</t>
  </si>
  <si>
    <t>No Aplica</t>
  </si>
  <si>
    <t>5202 / GarantiasCartasCredi</t>
  </si>
  <si>
    <t>No es permitido indicar espacios en blanco al inicio o al final del campo: "IdEntidadCartaCredito" del Archivo: "NEC2024_GARANTIAS_CARTAS_CREDITO".</t>
  </si>
  <si>
    <t>No es permitido indicar espacios en blanco al inicio o al final del campo: "IdGarantiaReal" del Archivo: "NEC2024_GARANTIAS_REALES".</t>
  </si>
  <si>
    <t>No es permitido indicar espacios en blanco al inicio o al final del campo: "IdTasador" del Archivo: "NEC2024_GARANTIAS_REALES".</t>
  </si>
  <si>
    <t>No es permitido indicar espacios en blanco al inicio o al final del campo: "IdEmpresaTasadora" del Archivo: "NEC2024_GARANTIAS_REALES".</t>
  </si>
  <si>
    <t>Leonel</t>
  </si>
  <si>
    <t>Detalle Archivos de la Clase de Datos Crediticia</t>
  </si>
  <si>
    <t>Código Archivo</t>
  </si>
  <si>
    <t>Detalle de Control de Cambios respecto a la publicación del 30 de junio 2022</t>
  </si>
  <si>
    <t>Generalidades</t>
  </si>
  <si>
    <t>PorcentajeMitigacionFondo</t>
  </si>
  <si>
    <t>Detalle de observaciones de cambios a los archivos para la versión 3, al 26 de julio 2023</t>
  </si>
  <si>
    <t>19/4/2023</t>
  </si>
  <si>
    <t>Falta agregar al Doc Publicado la siguiente validacion de GARANTIAS CARTAS CREDITO: 
Validación de Control de Integridad: No es permitido remitir datos para periodos anteriores a Enero 2024.
Cometario SICVECA 24 abr 2023:  Se considera observación.  Se incluye la validación.</t>
  </si>
  <si>
    <t>Falta agregar al Doc Publicado la siguiente validacion de GARANTIAS CEDIDAS: 
Validación de Control de Integridad: No es permitido remitir datos para periodos anteriores a Enero 2024
Comentario SICVEC 24 abr 2023:  Se atiende observación,  Se incluye la validación.</t>
  </si>
  <si>
    <t>Falta agregar al Doc Publicado la siguiente validacion de GARANTIAS REALES: 
Validación de Control de Integridad: No es permitido remitir datos para periodos anteriores a Enero 2024.
Comentario SICVEC 24 abr 2023:  Se atiende observación,  Se incluye la validación.</t>
  </si>
  <si>
    <t>Falta agregar al Doc Publicado la siguiente validacion de GARANTIAS VALORES: 
Validación de Control de Integridad: No es permitido remitir datos para periodos anteriores a Enero 2024.
2024.
Comentario SICVEC 24 abr 2023:  Se atiende observación,  Se incluye la validación.</t>
  </si>
  <si>
    <r>
      <rPr>
        <sz val="11"/>
        <color rgb="FF000000"/>
        <rFont val="Cambria"/>
        <family val="1"/>
      </rPr>
      <t xml:space="preserve">Se modifica la validación,  ya que un bien puede reportar más de una póliza.  Para solventarlo, se le incluye a la validación que considere la fecha de vencimiento.
Se modifica además en la estructura, la definición de los campos llave; se le incluye además el campo "FechaVencimiento"
Nota interna:  Se consultó a BCT el caso de que un bien tenga mas de dos pólizas, comentó que se pueden presentar casos que la aseguradora emita una póliza general por el bien  y otra póliza por la maquinaria.  Entonces presentará dos pólizas;  se plantea la fecha, se corre el riesgo de que las emita con la misma fecha, no se tiene en número de póliza.
</t>
    </r>
    <r>
      <rPr>
        <b/>
        <sz val="11"/>
        <color rgb="FFFF0000"/>
        <rFont val="Cambria"/>
        <family val="1"/>
      </rPr>
      <t>TI-9-5-23: Se ajusta campo en BD para que sea PK y se ajusta Validacion.</t>
    </r>
  </si>
  <si>
    <t>Validación y Estructura</t>
  </si>
  <si>
    <r>
      <rPr>
        <sz val="11"/>
        <color rgb="FF000000"/>
        <rFont val="Cambria"/>
        <family val="1"/>
      </rPr>
      <t xml:space="preserve">
Con respecto a la validación 11 de Garantías Reales; el objetivo es validar el valor del campo "Tiempo".  De acuerdo a la de dicho campo,  se estableció con dos enteros y dos decimales.
Podrían revisar la  fórmula de cálculo de la validación,  para determinar si esta comparando el resultado de la  fórmula aritmetica ( con todos los decimales) ó esta redondeando.
Si esta aplicando la totalidad de decimales,  se solicita que  el redondeo a dos digitos (al superior).
Estamos valorando incluirle una tolerancia,  lo estaremos comunicando
</t>
    </r>
    <r>
      <rPr>
        <b/>
        <sz val="11"/>
        <color rgb="FFFF0000"/>
        <rFont val="Cambria"/>
        <family val="1"/>
      </rPr>
      <t>TI-BMQ-25-4-23: Se ajusta según recomendaciones.</t>
    </r>
  </si>
  <si>
    <r>
      <t>Hay que corregir el texto de la validación en BD. Si esta programada de acuerdo al campo.
El dato del campo "PorcentajeAjusteRc" debe corresponde al valor indicado en la tabla "TipoColateralFinanciero";  según "Colateral Financiero y otros derechos de cobro" y "</t>
    </r>
    <r>
      <rPr>
        <b/>
        <u/>
        <sz val="11"/>
        <color rgb="FF00B050"/>
        <rFont val="Cambria"/>
        <family val="1"/>
      </rPr>
      <t>Calificación Instrumento</t>
    </r>
    <r>
      <rPr>
        <u/>
        <sz val="11"/>
        <color theme="10"/>
        <rFont val="Cambria"/>
        <family val="1"/>
      </rPr>
      <t>".
El dato del campo "PorcentajeAjusteRc" debe corresponde al valor indicado en la tabla "TipoColateralFinanciero";  según "Colateral Financiero y otros derechos de cobro" y "Clasificación Instrumento".</t>
    </r>
  </si>
  <si>
    <r>
      <rPr>
        <u/>
        <sz val="11"/>
        <color rgb="FF0563C1"/>
        <rFont val="Cambria"/>
        <family val="1"/>
      </rPr>
      <t xml:space="preserve">Se modifica la obligatoriedad de la descripción del campo"PorcentajeAjusteRc".  Se modifica de "No" a "Si".
</t>
    </r>
    <r>
      <rPr>
        <u/>
        <sz val="11"/>
        <color rgb="FFFF0000"/>
        <rFont val="Cambria"/>
        <family val="1"/>
      </rPr>
      <t>TI-5-5-23: SE REALIZA AJUSTE FALTA CERTIFICACION QA.</t>
    </r>
  </si>
  <si>
    <r>
      <rPr>
        <u/>
        <sz val="11"/>
        <color rgb="FF0563C1"/>
        <rFont val="Cambria"/>
        <family val="1"/>
      </rPr>
      <t xml:space="preserve">El campo PorcentajeAjusteRc debe ser requerido debido al ajuste que se realizó en la matriz TIPOCOLATERALFINANCIERO
</t>
    </r>
    <r>
      <rPr>
        <u/>
        <sz val="11"/>
        <color rgb="FFFF0000"/>
        <rFont val="Cambria"/>
        <family val="1"/>
      </rPr>
      <t>TI-5-5-23: SE REALIZA AJUSTE FALTA CERTIFICACION QA.</t>
    </r>
  </si>
  <si>
    <t>n/a</t>
  </si>
  <si>
    <r>
      <rPr>
        <sz val="11"/>
        <color rgb="FF000000"/>
        <rFont val="Cambria"/>
        <family val="1"/>
      </rPr>
      <t xml:space="preserve">Valorar corregir descripcion de validaciones 10 y anexas(11...) ya que no es clara acorde a las solicitudes de corrección.
EXPLICACION DE CAROLINA:
DEBEN COINCIDIR TODOS(si alguno de A hasta G no coincide tira error si se cumple que): 
·                 C_TIPO_CLASIFICACION_INSTRUMENTO = 1,2,3 o 4 y BONO
·                 C_TIPO_CLASIFICACION_INSTRUMENTO = 0 y PREMIO TIENE VALOR y PAIS DIFERENTE A 'CR' 
·                 C_TIPO_CLASIFICACION_INSTRUMENTO = 0 y PREMIO NO TIENE VALOR y PAIS IGUAL 'CR' 
·                 C_TIPO_CLASIFICACION_INSTRUMENTO = 0 y PREMIO NOTIENE VALOR y PAIS DIFERENTE 'CR' 
CASO EN EL QUE NO DEBE COINDICIR CAMPOS DE A a la G: 
·       C_TIPO_CLASIFICACION_INSTRUMENTO = 0 y PREMIO TIENE VALOR y PAIS IGUAL CR 
</t>
    </r>
    <r>
      <rPr>
        <b/>
        <sz val="11"/>
        <color rgb="FFFF0000"/>
        <rFont val="Cambria"/>
        <family val="1"/>
      </rPr>
      <t>TI:16/5/2023: Se programan en caliente segun escensarios de Comision debido a descripcion compleja y no se va a modificar la DESCRIPCION DE LA VALIDACION, pendiente Documentar en BD para que quede evidencia de referencia de escenarios.</t>
    </r>
  </si>
  <si>
    <t>Se solicita revisar el nombre del campo "IdGarantiaCartaCredito", del Archivo Cartas de Credito  con respecto al nombre que se indica en el XML y XSD.  En el XML y XSD se indica IdGarantia.</t>
  </si>
  <si>
    <t>31/5/2023</t>
  </si>
  <si>
    <r>
      <t xml:space="preserve">Revisar redacción en VALIDACION #3: La tabla correcta se debe llamar "TIPO_CALIFICACION_RIESGO" no Equivalencia_Calificaciones_Agencias_Calificadoras.
Los campos “CodigoCalificacionRiesgo”, “CodigoEmpresaCalificadora” y “CategoriaCalificacion” deben corresponder con los valores de la tabla </t>
    </r>
    <r>
      <rPr>
        <strike/>
        <sz val="11"/>
        <color rgb="FF000000"/>
        <rFont val="Cambria"/>
        <family val="1"/>
      </rPr>
      <t xml:space="preserve">""Equivalencia_Calificaciones_Agencias_Calificadoras"" </t>
    </r>
    <r>
      <rPr>
        <b/>
        <sz val="11"/>
        <color rgb="FF000000"/>
        <rFont val="Cambria"/>
        <family val="1"/>
      </rPr>
      <t>TIPO_ASIGNACION_CALIFICACION</t>
    </r>
    <r>
      <rPr>
        <sz val="11"/>
        <color rgb="FF000000"/>
        <rFont val="Cambria"/>
        <family val="1"/>
      </rPr>
      <t xml:space="preserve"> y y estos VALORES deben estar activos.
**************TAMBIEN REVISAR REDACCIONES DE CAMPOS QUE ASI LO INDICAN**********
Comentario SICVECA Leo (01 junio 2023):  De acuerdo a lo conversado con Bryan y Carlos, se va a mantener el nombre de tabla porque es como esta en la normativa,  a nivel de la programación, se le va a incluir en el "código", la aclaración de la nombre de la tabla).
   Se agrega a la validación el texto recomendado. .</t>
    </r>
  </si>
  <si>
    <r>
      <rPr>
        <sz val="11"/>
        <color rgb="FF000000"/>
        <rFont val="Cambria"/>
        <family val="1"/>
      </rPr>
      <t xml:space="preserve">Revisar redacción en VALIDACION #14: La tabla correcta se debe llamar "TIPO_CALIFICACION_RIESGO" no Equivalencia_Calificaciones_Agencias_Calificadoras.
Los campos “CodigoCalificacionRiesgo”, “CodigoEmpresaCalificadora” y “CategoriaCalificacion” deben corresponder con los valores de la tabla Equivalencia_Calificaciones_Agencias_Calificadoras.
</t>
    </r>
    <r>
      <rPr>
        <b/>
        <sz val="11"/>
        <color rgb="FF000000"/>
        <rFont val="Cambria"/>
        <family val="1"/>
      </rPr>
      <t xml:space="preserve">ADEMAS SE SUGIERE AGREGAR A LA DESCRIPCION LA FRASE "Y ESTOS VALORES DEBEN ESTAR CON ESTADO ACTIVO"
</t>
    </r>
    <r>
      <rPr>
        <sz val="11"/>
        <color rgb="FF000000"/>
        <rFont val="Cambria"/>
        <family val="1"/>
      </rPr>
      <t>**************TAMBIEN REVISAR REDACCIONES DE CAMPOS QUE ASI LO INDICAN**********
Comentario SICVECA Leo (01 junio 2023):  De acuerdo a lo conversado con Bryan y Carlos, se va a mantener el nombre de tabla porque es como esta en la normativa,  a nivel de la programación, se le va a incluir en el "código", la aclaración de la nombre de la tabla).
   Se agrega a la validación el texto recomendado. .</t>
    </r>
  </si>
  <si>
    <r>
      <rPr>
        <u/>
        <sz val="11"/>
        <color rgb="FF0563C1"/>
        <rFont val="Cambria"/>
        <family val="1"/>
      </rPr>
      <t xml:space="preserve">Se cambia el acrónimo "BPCD" por "BPDC" en las validaciones 11 y 12. de Garantías Valores
</t>
    </r>
    <r>
      <rPr>
        <b/>
        <u/>
        <sz val="11"/>
        <color rgb="FFFF0000"/>
        <rFont val="Cambria"/>
        <family val="1"/>
      </rPr>
      <t>TI-5-6-2023-: SE AJUSTA</t>
    </r>
  </si>
  <si>
    <t>11 y 12</t>
  </si>
  <si>
    <r>
      <rPr>
        <u/>
        <sz val="11"/>
        <color rgb="FF0563C1"/>
        <rFont val="Cambria"/>
        <family val="1"/>
      </rPr>
      <t xml:space="preserve">Se modifican las validaciones 10 y 11 del Archivo de Garantías Reales.
Justificante: Para que la validación no se aplique para las operaciones amparadas al acuerdo SUGEF 15-16, Banca para el Desarrollo.  Atendiendo observación del Banco Popular recibida en CRM´s 2023_8362 (2023_8752)
</t>
    </r>
    <r>
      <rPr>
        <b/>
        <u/>
        <sz val="11"/>
        <color rgb="FFFF0000"/>
        <rFont val="Cambria"/>
        <family val="1"/>
      </rPr>
      <t xml:space="preserve">TI-16-6-23: ATENDIDA.
</t>
    </r>
    <r>
      <rPr>
        <u/>
        <sz val="11"/>
        <color rgb="FF0563C1"/>
        <rFont val="Cambria"/>
        <family val="1"/>
      </rPr>
      <t xml:space="preserve">
SICVECA_ 22 JUNIO 2023:  Se conversa con Bryan sobre la validación 10.   Se acuerda, dejar la validación como estaba antes;  ya que se aplica la combinación de 0,0,0"  a la matriz de la tabla Tipo Colateralk Real.
Parala validación 11, se mantiene, se hará una nueva para requerir que cuando sea tipo colateral 0, el timpo debe ser 1.
</t>
    </r>
    <r>
      <rPr>
        <b/>
        <u/>
        <sz val="11"/>
        <color rgb="FFFF0000"/>
        <rFont val="Cambria"/>
        <family val="1"/>
      </rPr>
      <t>TI-22-6-23: Se modifica validacion #10 en progra y descripcion</t>
    </r>
  </si>
  <si>
    <t>10 y 11</t>
  </si>
  <si>
    <r>
      <rPr>
        <u/>
        <sz val="11"/>
        <color rgb="FF0563C1"/>
        <rFont val="Cambria"/>
        <family val="1"/>
      </rPr>
      <t xml:space="preserve">Se modifican las validaciones 22 del Archivo de Garantías Valores.
Justificante: Para que la validación no se aplique para las operaciones amparadas al acuerdo SUGEF 15-16, Banca para el Desarrollo.  Atendiendo observación del Banco Popular recibida en CRM´s 2023_8362 (2023_8752)
</t>
    </r>
    <r>
      <rPr>
        <b/>
        <u/>
        <sz val="11"/>
        <color rgb="FFFF0000"/>
        <rFont val="Cambria"/>
        <family val="1"/>
      </rPr>
      <t xml:space="preserve">TI-16-6-23: ATENDIDA. 
</t>
    </r>
    <r>
      <rPr>
        <u/>
        <sz val="11"/>
        <color rgb="FF0563C1"/>
        <rFont val="Cambria"/>
        <family val="1"/>
      </rPr>
      <t xml:space="preserve">
SICVECA 22 JUNIO 2023. Se conversa con Bryan, respecto a la matriz de la tabla Tipo Calateral, expresamente para el código CERO que se crea para operaciones  "Calificación instrumento" para que se a1.
   Por lo que la validación vuelve a su estado original.  No es neceario el cambio solicitado.
</t>
    </r>
    <r>
      <rPr>
        <b/>
        <u/>
        <sz val="11"/>
        <color rgb="FFFF0000"/>
        <rFont val="Cambria"/>
        <family val="1"/>
      </rPr>
      <t>TI: 22-6-2023: SE AJUSTA A VALIDACION INICIAL</t>
    </r>
  </si>
  <si>
    <r>
      <rPr>
        <u/>
        <sz val="11"/>
        <color rgb="FF0563C1"/>
        <rFont val="Cambria"/>
        <family val="1"/>
      </rPr>
      <t xml:space="preserve">Se modifica la validación del archivo de Facturas Cedidas, validación 96.   
Justificación: Para operaciones no amparadas a 14-21, no se les debe exigir el 40%.  Atendiendo observación del Banco Popular recibida en CRM´s 2023_8362 (2023_8752)
</t>
    </r>
    <r>
      <rPr>
        <b/>
        <u/>
        <sz val="11"/>
        <color rgb="FFFF0000"/>
        <rFont val="Cambria"/>
        <family val="1"/>
      </rPr>
      <t>TI-16-6-23: COMISION VA AJUSTAR NUEVAMENTE REDACCION PARA QUE QUEDE CLARA! SE QUEDA A LA ESPERA
TI:20-6-23</t>
    </r>
  </si>
  <si>
    <r>
      <rPr>
        <sz val="11"/>
        <color rgb="FF000000"/>
        <rFont val="Cambria"/>
        <family val="1"/>
      </rPr>
      <t xml:space="preserve">Cambiar el rango de </t>
    </r>
    <r>
      <rPr>
        <b/>
        <sz val="11"/>
        <color rgb="FF000000"/>
        <rFont val="Cambria"/>
        <family val="1"/>
      </rPr>
      <t xml:space="preserve"> 5 a 30 </t>
    </r>
    <r>
      <rPr>
        <sz val="11"/>
        <color rgb="FF000000"/>
        <rFont val="Cambria"/>
        <family val="1"/>
      </rPr>
      <t>en el</t>
    </r>
    <r>
      <rPr>
        <b/>
        <u/>
        <sz val="11"/>
        <color rgb="FF000000"/>
        <rFont val="Cambria"/>
        <family val="1"/>
      </rPr>
      <t xml:space="preserve"> CodigoCalificacionRiesgo</t>
    </r>
    <r>
      <rPr>
        <sz val="11"/>
        <color rgb="FF000000"/>
        <rFont val="Cambria"/>
        <family val="1"/>
      </rPr>
      <t xml:space="preserve"> de</t>
    </r>
    <r>
      <rPr>
        <b/>
        <sz val="11"/>
        <color rgb="FF000000"/>
        <rFont val="Cambria"/>
        <family val="1"/>
      </rPr>
      <t xml:space="preserve"> GARANTIA_CARTAS_CREDITO</t>
    </r>
    <r>
      <rPr>
        <sz val="11"/>
        <color rgb="FF000000"/>
        <rFont val="Cambria"/>
        <family val="1"/>
      </rPr>
      <t xml:space="preserve"> debido a que el catalogo de BD se indica tal cual y deben coincidir.  En VALORES Y DEUDORES SE ENCUENTRA EN RANGO DE 30
VALORAR QUE SEAN LOS</t>
    </r>
    <r>
      <rPr>
        <b/>
        <i/>
        <sz val="11"/>
        <color rgb="FF000000"/>
        <rFont val="Cambria"/>
        <family val="1"/>
      </rPr>
      <t xml:space="preserve"> 3 CAMPOS REQUERIDOS. (Categoria Calificacion, Calificacion Riesgo, EmpresaCalificadora): De ser asi ajustar en DEUDORES, GARANTIAS VALORES y GARANTIAS CARTAS CREDITO.
Respuesta SICVECA </t>
    </r>
    <r>
      <rPr>
        <sz val="11"/>
        <color rgb="FF000000"/>
        <rFont val="Cambria"/>
        <family val="1"/>
      </rPr>
      <t xml:space="preserve">CREDITICIA:  13 junio 2023: Se ajusta en descripción el "tamaño formato" del campo "CalificacionRiesgo", pasa de 0 a 5 a de 0 a 30. 
Con respecto a que los tres campos sean requerido.  Aplicaría solo para Cartas de Credito,  para Deudores y Valores no; ya que no todo deudor o emisión va a estar calificada.  Para cartas de crédito.
  En el caso de Cartas de Crédito, por la validación 3 se esta requiriendo el valor en los campo, para que se requiera el valor.
</t>
    </r>
    <r>
      <rPr>
        <b/>
        <sz val="14"/>
        <color rgb="FF000000"/>
        <rFont val="Cambria"/>
        <family val="1"/>
      </rPr>
      <t xml:space="preserve">Se modifica la validación 3  y se elimina la validación 4; se fusiona la validación 3 con la 4.
TI: NO HA CAMBIADO RANGO EN CARTAS REVISAR DOC QUE EVIDENCIE CAMBIO!
</t>
    </r>
    <r>
      <rPr>
        <b/>
        <sz val="14"/>
        <color rgb="FFFF0000"/>
        <rFont val="Cambria"/>
        <family val="1"/>
      </rPr>
      <t>TI-15-6-23: AJUSTADA</t>
    </r>
  </si>
  <si>
    <r>
      <rPr>
        <u/>
        <sz val="11"/>
        <color rgb="FF0563C1"/>
        <rFont val="Cambria"/>
        <family val="1"/>
      </rPr>
      <t xml:space="preserve">Se modifica la validación 5  y se elimina la validación número 14; del archivo de Garantías Valores
</t>
    </r>
    <r>
      <rPr>
        <b/>
        <u/>
        <sz val="11"/>
        <color rgb="FFFF0000"/>
        <rFont val="Cambria"/>
        <family val="1"/>
      </rPr>
      <t>TI-15-6-23: AJUSTADA</t>
    </r>
  </si>
  <si>
    <t>05( se modifica)
14 (se elimina)</t>
  </si>
  <si>
    <r>
      <rPr>
        <u/>
        <sz val="11"/>
        <color rgb="FF0563C1"/>
        <rFont val="Cambria"/>
        <family val="1"/>
      </rPr>
      <t xml:space="preserve"> Se crea la siguiente validación (complemento de la 11 de Garantias Reales: 
 "(…)Cuando el "TipoColateralReal" es  igual a "0" el valor del campo "Tiempo" debe ser UNO.(..)"
</t>
    </r>
    <r>
      <rPr>
        <b/>
        <u/>
        <sz val="11"/>
        <color rgb="FFFF0000"/>
        <rFont val="Cambria"/>
        <family val="1"/>
      </rPr>
      <t>TI-22-6-2023: Se crea nueva validacion</t>
    </r>
  </si>
  <si>
    <t xml:space="preserve">T.I. agrega tres nuevas validaciones al archivo de Garantías Valores, 
151-  Validación de Control de Integridad: El campo "TipoClasificacionInstrumento" debe existir en la tabla "TIPO_COLATERAL_FINANCIERO_CALIFICACION_INSTRUMENTO_NEC2024"
152. El campo "TipoMonedaValorFacial" debe existir en la tabla "TIPO_MONEDA"
153. El campo "TipoMonedaValorMercado" debe existir en la tabla "TIPO_MONEDA"
Están pendientes de probar.
</t>
  </si>
  <si>
    <t>151, 152 y 153</t>
  </si>
  <si>
    <t xml:space="preserve">T.I. agrega tres nuevas validaciones al archivo de Garantías Facturas Cedidas, 
T.I. agrega tres nuevas validaciones al archivo de Garantías Valores, 
Pendiente de probar
</t>
  </si>
  <si>
    <t>Total
 validaciones</t>
  </si>
  <si>
    <t>Total validaciones nuevas</t>
  </si>
  <si>
    <t>ÍNDICE</t>
  </si>
  <si>
    <t>Total validaciones por archivo</t>
  </si>
  <si>
    <t>COMENTARIOS</t>
  </si>
  <si>
    <t>01_Generalidades_Estructura</t>
  </si>
  <si>
    <t>01_Generalidades_Campos</t>
  </si>
  <si>
    <t>01_Generalidades_Validaciones</t>
  </si>
  <si>
    <t>Por revisarlas</t>
  </si>
  <si>
    <t>02_Fiduciarias_Estructura</t>
  </si>
  <si>
    <t>02_Fiduciarias_Descripcion</t>
  </si>
  <si>
    <t>02_Fiduciarias_Validaciones</t>
  </si>
  <si>
    <t>03_Reales_Estructura</t>
  </si>
  <si>
    <t>03_Reales_Descripcion</t>
  </si>
  <si>
    <t>03_Reales_Validaciones</t>
  </si>
  <si>
    <t>04_Valores Estructura</t>
  </si>
  <si>
    <t>04_Valores_Descripcion</t>
  </si>
  <si>
    <t>04_Valores_Validaciones</t>
  </si>
  <si>
    <t>05_Cartas Credito_Estructura</t>
  </si>
  <si>
    <t>05_Cartas Credito_Descripcion</t>
  </si>
  <si>
    <t xml:space="preserve">05_Cartas Credito_Validaciones </t>
  </si>
  <si>
    <t>06_Cedidas_Estructura</t>
  </si>
  <si>
    <t>06_Cedidas_Descripcion</t>
  </si>
  <si>
    <t>06_Cedidas_Validaciones</t>
  </si>
  <si>
    <t>07_Polizas_Estructura</t>
  </si>
  <si>
    <t>07_Polizas Descripcion</t>
  </si>
  <si>
    <t>07_Polizas Validaciones</t>
  </si>
  <si>
    <t>Deyma</t>
  </si>
  <si>
    <t>Pendiente SICVECA</t>
  </si>
  <si>
    <t>Georffrey</t>
  </si>
  <si>
    <t>Pendiente T.I.</t>
  </si>
  <si>
    <t>Eddy</t>
  </si>
  <si>
    <t>Lanfor</t>
  </si>
  <si>
    <t>NEC2024_Garantias_Polizas</t>
  </si>
  <si>
    <t>NEC2024_GarantiasCartasCredito</t>
  </si>
  <si>
    <t>NEC2024_GarantiasFacturasCedidas</t>
  </si>
  <si>
    <t>NEC2024_GarantiasFiduciarias</t>
  </si>
  <si>
    <t>NEC2024_GarantiasReales</t>
  </si>
  <si>
    <t>NEC2024_GarantiasValores</t>
  </si>
  <si>
    <t>Cambiar el número de versión a 2.0  en el encabezado de los XML.</t>
  </si>
  <si>
    <t>Consulta de Popular.
Se modifica la validación número 8 de Fiduciarias y avales, se le incluye el código 19 a la descripción de la validación.</t>
  </si>
  <si>
    <t>Fiduciarias</t>
  </si>
  <si>
    <t>Atendida</t>
  </si>
  <si>
    <t>Consulta de Popular.
Se modifica la validación número 9, por el número de cédula de FONADE, dado por la entidad.</t>
  </si>
  <si>
    <t>Se modifica la validación 10, se le excluye el nombre de Fodemyoime y se incluye el número de cédula del Banco Popular</t>
  </si>
  <si>
    <t>Se modifica la validación 120, se le excluye los números de cédula de FONADE  Y FODEMYPIME:</t>
  </si>
  <si>
    <t>Se le excluye conjunción "y" a la validación.</t>
  </si>
  <si>
    <t>Reales</t>
  </si>
  <si>
    <t>Se modica el número de validación al al numero 13. ( había 2 validaciones con el número 2)</t>
  </si>
  <si>
    <t xml:space="preserve">Se modifica la validación 5, de valores.  Una palabra repectida en el nombre del campo,  de forma. </t>
  </si>
  <si>
    <t>valores</t>
  </si>
  <si>
    <t>Se traspasan las validaciones de la MATRIZ de Empresas calificadoras al achivo de Garantías valores.  Validaciones de la 24 a la 109</t>
  </si>
  <si>
    <t>24  a 109</t>
  </si>
  <si>
    <t xml:space="preserve">Se trasladan las validaciones de la matriz de "Tipo Colateral Real", 5 validaciones de la 14 a la 18. </t>
  </si>
  <si>
    <t>14 a 18</t>
  </si>
  <si>
    <t>Se traslada validaciones de la matriz Tipo colateral financiero:  Tipo colateral código del instrumento.</t>
  </si>
  <si>
    <t>110 a 154</t>
  </si>
  <si>
    <t>Se cambia a no obligatorio el campo  "PorcentajeAjusteRc"</t>
  </si>
  <si>
    <t>Valores, descripcipon de campos
PorcentajeAjusteRc</t>
  </si>
  <si>
    <t>Valores descripción</t>
  </si>
  <si>
    <t>El campo "Código Calificación Riesgo" debe ser rango 5 debido a que exiisten códigos con esta cantidad de caracteres: Ver comentario en campo
Respuesta:  Se cambia a "5"</t>
  </si>
  <si>
    <t>Garantías Cartas Credito y   Garantías Facturas Cedidas</t>
  </si>
  <si>
    <t>Campo</t>
  </si>
  <si>
    <t>En las validaciones del Archivo "Garantias Facturas Cedidas" se requiere el campo "TIPOCOLATERALFINANCIERO" pero en la descripcion del Archivo no lo posee, como sugerencia sería adecuado que lo agreguen.
Respuesta:  Todos los registros que remitan en "Cedidas van a ser facturas.  Lo que va a corresponder es eliminar la validación 7 y 8. de  Cedidas.</t>
  </si>
  <si>
    <t xml:space="preserve">  Garantías Facturas Cedidas
Se eliminará las validaciones 7 y 8.
En las validaciones 44 y 45 del Archivo de Garantias de operaciones hacen este función.</t>
  </si>
  <si>
    <t>Con el fin de homologar los nombres de los campos de valores y cedidas,  se modifica el nombre del campo "CalificacionRiesgo"  por "CodigoCalificacionRiesgo".
Para nuestros efectos, vamos a ajustar las decripción de los campos.</t>
  </si>
  <si>
    <t>valores:
en estructura y desrcipcion</t>
  </si>
  <si>
    <t>campo CodigoCalificacionRiesgo</t>
  </si>
  <si>
    <t>Como recomendación el Campo "Código Calificación Riesgo" debe ser requerido u OBLIGATORIO  en Garantias Cartas Credito y Garantias Facturas Cedidas, debido a que en la tabla EQUIVALENCIA_CALIFICACIONES_AGENCIAS_CALIFICADORAS forma parte de la llaves principales de la tabla matriz que se esta realizando. Si eventualmente consideran necesario que el campo no sea OBLIGATORIO favor indicarlo. No obstante la combinacion de los campos: CategoriaCalificacion
CodigoCalificacionRiesgo 
CodigoEmpresaCalificadora  estos 3 campos deben siempre corresponder a la tabla matriz(VER IMAGEN ADJUNTA)
Comentario:  Respuestas:  Bryan,  ya hice la revisión de los tres campos en facturas cedidas y cartas de crédito,  ahí están los campos,  al igual que en valores.  Favor de revisar.                                                                                                                                                                  Comentario Bryan: REVISAR NUEVAMENTE no se comprendió la duda original. Ver imagen adjunta o favor llamar para aclarar la duda.</t>
  </si>
  <si>
    <t>Garantías Cartas Credito (5203) y   Garantías Facturas Cedidas (5204).
Ahora te llamamos. Mejor</t>
  </si>
  <si>
    <t>La combinación de estos dos campos: CodigoCalificacionInstrumento, POrcentageAjusteRC deben ser siempre equivalentes(deben coincidir) a la tabla Matriz(TIPO_COLATERAL_FINANCIERO)?  .... No visualizo validaciones de la nueva matriz TIPO COLATERAL_FINANCIERO para el "Archivo Garantias Facturas Cedidas". 
Respuesta;   Se incluyeron validaciones de la 8 a la 11 ne Facturas Cedidas,  estas cuatro validaciones estaban en Garantias Valores, se trasladaron.</t>
  </si>
  <si>
    <t xml:space="preserve"> Garantías Facturas Cedidas</t>
  </si>
  <si>
    <t>Campo/Duda</t>
  </si>
  <si>
    <t>Se incluye los campos llave para el Archivo Polizas:
IdGarantia, TipoGarantia,TipoBienGarantia, TipoPoliza.</t>
  </si>
  <si>
    <t>Garantias Polizas</t>
  </si>
  <si>
    <t xml:space="preserve">estructura </t>
  </si>
  <si>
    <t>el campo Coberturas Póliza debería renombrarse a "IndicadorCoberturasPo
liza" por favor valorar y ajustar para seguir el estándar de campos de tipo indicador.
Respuesta:  Se modifica el nombre del campo.</t>
  </si>
  <si>
    <t>Este documento se descarga el día de hoy (29 de junio a las 08:00 a.m.) de One Drive,  para efectos de publicación.
Se les solicita, que toda observación, cambio de campos, ajuste a validaciones quede descrita en esta hoja "Bitácora"</t>
  </si>
  <si>
    <t xml:space="preserve">En el XML Garantias Cartas de Crédito hay una LISTA GARANTIA DOCUMENTO CARTA CREDITO IMPORTACION POLIZA, pero en el mapeo del excel no la pusieron.
En el historico anterior muestra que se debe guardar la información de:   Cartas de Crédito de Importación y Cartas de Crédito Importación Pólizas.
La consulta es que va a pasar con eso, va o no va?   Si se debe contemplar o no.
Respuesta:  Con respecto a la información del Archivo DocumentosCartasCreditoImportación,  al no estar considerado este "instrumento de comercio internacional" cómo mitigador para efectos de la nueva normativa; no esta entre la información que ingresaría a partir de enero 2024. Ninguna de a información que contiene los campos del referido XML.  
Podría verse la opción de posterior a enero 2024, esta información se pueda consultar, considerando que ya no recibirá. 
</t>
  </si>
  <si>
    <t>Garantias Cartas de Crédito</t>
  </si>
  <si>
    <t>El archivo 1507 Fideicomisos de garantías del todo no está en el archivo de Garantías, ya no se va a remitir del todo?
En el historico anterior muestra que se debe guardar la información de:   Garantía Fideicomitida y Gravamen Fideicomitido 
La consulta es que va a pasar con eso, va o no va?   Si se debe contemplar o no.
Respuesta:
    La información del Archivo de Garantías de Fideicomiso ya no se recibirá en Garantías.   Se hizo un cambio,  Prácticamente lo campos llave de este XML ( que se recibe en este momento en Garantías), se va a recibir en el XML de Fideicomisos  de "Operaciones".
En este caso, si debe haber continuidad de la información.</t>
  </si>
  <si>
    <t>Garantías Fideicomisos</t>
  </si>
  <si>
    <t>Pendiente</t>
  </si>
  <si>
    <t>17/08/2022</t>
  </si>
  <si>
    <t>En la tabla historica de GARANTIA_REAL hay un campo que se llama C_BIEN pero dicho campo no esta mapeado en el excel de la nueva normativa. Dicho campo ya no aplica para la nueva normativa?
Respuesta SICVECA 17 agosto 2022:  Se atiende la consulta vía telefónica con Georffrey, se revisó la estructura de los campos actuales del XML de Garantías Reales,  la cual no tiene dicho campo.  Este campo no viaja en el actualidad y no va a viajar para NEC.</t>
  </si>
  <si>
    <t>Garantia Real</t>
  </si>
  <si>
    <t>Se eliminan las validaciones de la (6 a la 91); aplica la validación general número 3.
  Al hacer referencia a la Tabla de matrices de agencias calificadora, se dejará en el documento la validación general.</t>
  </si>
  <si>
    <t>Se eliminan las validaciones de la (10 a la 95); aplica la validación general número 4.
  Al hacer referencia a la Tabla de matrices de agencias calificadora, se dejará en el documento la validación general.</t>
  </si>
  <si>
    <t>Se eliminan las validaciones de la (14, 15, 16, 17, 18); aplica la validación general número 11.
  Al hacer referencia a la Tabla de matrices de Tipo Colateral Real, se dejará en el documento la validación general  11</t>
  </si>
  <si>
    <t>Se eliminan las validaciones de la (110 a la 150); aplica la validación general número 22.
  Al hacer referencia a la Tabla de matrices de Tipo Colateral Financiero, se dejará en el documento la validación general  22</t>
  </si>
  <si>
    <t>Se eliminan las validaciones de la (24  a la 109); aplica la validación general número 14.
  Al hacer referencia a la Tabla  Equivalencia Agencia Calificadora, se dejará en el documento la validación general  22</t>
  </si>
  <si>
    <t>Se eliminan las validaciones de la (6  a la 91); aplica la validación general número 3.
  Al hacer referencia a la Tabla  Equivalencia Agencia Calificadora, se dejará en el documento la validación general  3</t>
  </si>
  <si>
    <t>Se eliminan las validaciones de la (10  a la 95); aplica la validación general número 4.
  Al hacer referencia a la Tabla  Equivalencia Agencia Calificadora, se dejará en el documento la validación general  3</t>
  </si>
  <si>
    <t>Se hace ajuste en la validación,  se le incluye id a la par de Fodempyme.   La cédula corresponde al Banco Popular, que es quién administra el fondo.</t>
  </si>
  <si>
    <t>La tabla catalogo TIPO_ASIGNACION_CALIFICACION tiene los codigos 0,1,2. Pero la validación dice que solo se permite 0 y 2. Solo quiero validar si es que el 1 no va a ser permitido en este archivo. 
Respuesta SICVECA: 28 oct. 2022.
      Para los efectos de la validación,  es correcto que liminte a los códigos 0 y 2.    El código 1 es "Emisor" y siempre son personas jurícas las que hacen emisión.</t>
  </si>
  <si>
    <t xml:space="preserve"> 28/10/22</t>
  </si>
  <si>
    <r>
      <t xml:space="preserve">VALORAR: agregar en descripción lo marcado en negrita:  Los valores de los campos “TipoPersonaTasador”, “TipoPersonaEmpresaTasadora” deben corresponder con los códigos indicados en la Tabla “Tipo_Persona” </t>
    </r>
    <r>
      <rPr>
        <b/>
        <sz val="11"/>
        <color rgb="FF000000"/>
        <rFont val="Cambria"/>
        <family val="1"/>
      </rPr>
      <t xml:space="preserve"> y deben estar activos.
Comentario SICVECA:  Leo.</t>
    </r>
    <r>
      <rPr>
        <sz val="11"/>
        <color rgb="FF000000"/>
        <rFont val="Cambria"/>
        <family val="1"/>
      </rPr>
      <t xml:space="preserve">
  Esta validación que hace referencia a la tabla  TipoPersona,  se integró a nivel de XSD la restricción de los campos que debe usar.  Conforme a lo conversado en reunión de trabajo anterior, estas validaciones se eliminarían.
  En atención a lo anterior,  se elimina la validaci´pon 2.</t>
    </r>
  </si>
  <si>
    <t>Para la validación # 7 dice: Cuando el “SalarioNetoFiador” tiene valor, el “TipoMitigador” del archivo “GarantíasOperaciones” debe ser 17.
Considerar que en ese momento no va a estar cargado en historico el archivo de Garantías Operaciones por lo que no va a ver datos contra que comparar. Considerar plantearla en el archivo de garantías operaciones.
Respuesta SICVECA:  28 octubre, 2022
    La validación será trasladada al archivo de  Operaciones</t>
  </si>
  <si>
    <t>Las validaciones #8, 9, 10, 11 hacen referencia al archivo de Grantías operaciones. La clase de datos de garantías se carga primero que la de crédito por lo que en este punto cargado el archivo de Garantías Operaciones por lo que no va a ver datos contra que comparar. Considerar plantearla en el archivo de garantías operaciones.
Respuesta SICVECA:  28 octubre, 2022
    Las validaciones  serán trasladadas al archivo de  Operaciones</t>
  </si>
  <si>
    <t>8,9,10,11</t>
  </si>
  <si>
    <t>Se trasladará la validación a garantías de operaciones.</t>
  </si>
  <si>
    <r>
      <rPr>
        <sz val="11"/>
        <color rgb="FF000000"/>
        <rFont val="Calibri"/>
        <family val="2"/>
      </rPr>
      <t xml:space="preserve">Valorar corregir redacción de VALIDACION #1 agregandola palabra sugerida </t>
    </r>
    <r>
      <rPr>
        <b/>
        <sz val="11"/>
        <color rgb="FF000000"/>
        <rFont val="Cambria"/>
        <family val="1"/>
      </rPr>
      <t xml:space="preserve">EN NEGRITA:
</t>
    </r>
    <r>
      <rPr>
        <sz val="11"/>
        <color rgb="FF000000"/>
        <rFont val="Cambria"/>
        <family val="1"/>
      </rPr>
      <t>El ""IdGarantia"" de este archivo, debe existir en el campo ""IdGarantiaReal"" y  tener una ""S"" en el campo ""</t>
    </r>
    <r>
      <rPr>
        <b/>
        <sz val="11"/>
        <color rgb="FF000000"/>
        <rFont val="Cambria"/>
        <family val="1"/>
      </rPr>
      <t>INDICADOR</t>
    </r>
    <r>
      <rPr>
        <sz val="11"/>
        <color rgb="FF000000"/>
        <rFont val="Cambria"/>
        <family val="1"/>
      </rPr>
      <t>PolizaGarantiaReal"" del Archivo Garantías Reales.
TI: Esto debido a que en el XML y Descripcion de este documento el campo se encuentra distinto como</t>
    </r>
    <r>
      <rPr>
        <b/>
        <sz val="11"/>
        <color rgb="FFFF0000"/>
        <rFont val="Cambria"/>
        <family val="1"/>
      </rPr>
      <t xml:space="preserve"> INDICADOR</t>
    </r>
    <r>
      <rPr>
        <sz val="11"/>
        <color rgb="FF000000"/>
        <rFont val="Cambria"/>
        <family val="1"/>
      </rPr>
      <t xml:space="preserve">POLIZAGARANTIAREAL
SICVECA 15 nov 2022:  Se hace el cambio en la varlidación.
</t>
    </r>
    <r>
      <rPr>
        <b/>
        <sz val="11"/>
        <color rgb="FFFF0000"/>
        <rFont val="Cambria"/>
        <family val="1"/>
      </rPr>
      <t xml:space="preserve">TI(DEV-BMQ-18-11-2022): Se ajusta descripcion en ambiente desarrollo
</t>
    </r>
  </si>
  <si>
    <r>
      <rPr>
        <b/>
        <sz val="11"/>
        <color rgb="FF000000"/>
        <rFont val="Cambria"/>
        <family val="1"/>
      </rPr>
      <t xml:space="preserve">Valorar corregir redacción de VALIDACION #3 agregando lo sugerido en  NEGRITA:
</t>
    </r>
    <r>
      <rPr>
        <sz val="11"/>
        <color rgb="FF000000"/>
        <rFont val="Cambria"/>
        <family val="1"/>
      </rPr>
      <t xml:space="preserve">Los campos “CodigoCalificacionRiesgo”, “CodigoEmpresaCalificadora” y “CategoriaCalificacion” deben corresponder con los valores de la tabla ""Equivalencia_Calificaciones_Agencias_Calificadoras" </t>
    </r>
    <r>
      <rPr>
        <b/>
        <sz val="11"/>
        <color rgb="FF000000"/>
        <rFont val="Cambria"/>
        <family val="1"/>
      </rPr>
      <t xml:space="preserve">y estos VALORES deben estar ACTIVOS
SICVECA 15-11-2022:  </t>
    </r>
    <r>
      <rPr>
        <sz val="11"/>
        <color rgb="FF000000"/>
        <rFont val="Cambria"/>
        <family val="1"/>
      </rPr>
      <t xml:space="preserve">La recomendación  hace referencia a "registros", la validación hace referencia a los valores que se deben de indicar en los tres campos.  Me parece que se refiere a los "valores",  podrían confirmar?
</t>
    </r>
    <r>
      <rPr>
        <b/>
        <sz val="11"/>
        <color rgb="FFFF0000"/>
        <rFont val="Cambria"/>
        <family val="1"/>
      </rPr>
      <t xml:space="preserve">TI-BMQ-16-11-22: Correcto, valores. 
</t>
    </r>
    <r>
      <rPr>
        <b/>
        <sz val="11"/>
        <color rgb="FF000000"/>
        <rFont val="Cambria"/>
        <family val="1"/>
      </rPr>
      <t xml:space="preserve">SICVECA 22-11-2022
  Se le agrega el texto a la validación.
</t>
    </r>
    <r>
      <rPr>
        <b/>
        <sz val="11"/>
        <color rgb="FFFF0000"/>
        <rFont val="Cambria"/>
        <family val="1"/>
      </rPr>
      <t>TI-BMQ-23-11-22: Listo en SUGEF falta aplicar en NEC
TI-CFR-23-11-22:  Ya se aplicó el ajuste en el ambiente NEC2024</t>
    </r>
  </si>
  <si>
    <t>11/8/2022+B51:I51</t>
  </si>
  <si>
    <r>
      <rPr>
        <sz val="11"/>
        <color rgb="FF000000"/>
        <rFont val="Cambria"/>
        <family val="1"/>
      </rPr>
      <t xml:space="preserve">Indicar en la descripción cuál es el campo de relación entre las talas indicadas.
Favor evaluar la opción de agergar un nuevo campo como llave para la tabla Tipo_Colateral_Financiero.
</t>
    </r>
    <r>
      <rPr>
        <b/>
        <u/>
        <sz val="11"/>
        <color rgb="FF000000"/>
        <rFont val="Cambria"/>
        <family val="1"/>
      </rPr>
      <t xml:space="preserve">Respuesta SICVECA  (Leo)  22 noviembre 2022.
</t>
    </r>
    <r>
      <rPr>
        <sz val="11"/>
        <color rgb="FF000000"/>
        <rFont val="Cambria"/>
        <family val="1"/>
      </rPr>
      <t xml:space="preserve">   La validación hace referencia a la tabla  indicada (Tipo_Colateral_Financiero).  Para esta tabla, en el archivo Excel de  tablas matrices, estan las validaciones de esta tabla.  Tal como la hemos definico en otros archivos, en el documento se publicación la validación general, que en este caso sería la  la validación número 6. 
    Me parece que con esto se atiende el comentario,  cualquier cosa, por favor me llaman.  De acuerdo?
</t>
    </r>
    <r>
      <rPr>
        <b/>
        <sz val="11"/>
        <color rgb="FFFF0000"/>
        <rFont val="Cambria"/>
        <family val="1"/>
      </rPr>
      <t xml:space="preserve">TI-BMQ-23-11-22: </t>
    </r>
    <r>
      <rPr>
        <b/>
        <sz val="11"/>
        <color rgb="FF000000"/>
        <rFont val="Cambria"/>
        <family val="1"/>
      </rPr>
      <t xml:space="preserve">No se responde la consulta inicial si el campo TIPO_COLATERAL_FINANCIERO debería incorporarse como nuevo campo? Para evaluar lo que plantea la validación se requieren los 3 campos que posee la matriz los cuales son: </t>
    </r>
    <r>
      <rPr>
        <b/>
        <sz val="11"/>
        <color rgb="FFFF0000"/>
        <rFont val="Cambria"/>
        <family val="1"/>
      </rPr>
      <t>"TipoColateralFinanciero",	"CodigoCalificacionInstrumento",	"PorcentajeAjusteRc"</t>
    </r>
    <r>
      <rPr>
        <b/>
        <sz val="11"/>
        <color rgb="FF000000"/>
        <rFont val="Cambria"/>
        <family val="1"/>
      </rPr>
      <t xml:space="preserve">=&gt;&gt; Estos dos últimos si se encuentran en la tabla NEC2024_Garantias_facturas_Cedidas, pero no el primero TIPO_COLATERAL_FINANCIERO el cual se sugiere agregarlo para evaluar el PorcentajeAjusteRc. Favor indicar si procede el ajuste.
</t>
    </r>
    <r>
      <rPr>
        <b/>
        <sz val="11"/>
        <color rgb="FFFF0000"/>
        <rFont val="Cambria"/>
        <family val="1"/>
      </rPr>
      <t xml:space="preserve">    </t>
    </r>
    <r>
      <rPr>
        <sz val="11"/>
        <color rgb="FF000000"/>
        <rFont val="Cambria"/>
        <family val="1"/>
      </rPr>
      <t xml:space="preserve">
</t>
    </r>
    <r>
      <rPr>
        <b/>
        <sz val="11"/>
        <color rgb="FF000000"/>
        <rFont val="Cambria"/>
        <family val="1"/>
      </rPr>
      <t xml:space="preserve">
SICVECA: 24 noviembre, 2022: Leo.
</t>
    </r>
    <r>
      <rPr>
        <sz val="11"/>
        <color rgb="FF000000"/>
        <rFont val="Cambria"/>
        <family val="1"/>
      </rPr>
      <t xml:space="preserve">    Conforme a lo conversado el 24 nov. con Bryan; se va a eliminar la validación número 6,  ya que las validacionew 8 y 9  "atajan" lo que se busca.  el campo "Tipo_Colateral_Financiero" no se incorpora al Archivo de Facturas Cedidas, ya que en este archivo solo va a viajar "facturas  y en la matriz solo hay un código pera el  "tipo colateral" para facturas.
Se elimina la validación 6.
     </t>
    </r>
  </si>
  <si>
    <t>Favor reenumerar los id de los archivos indicados en la pestaña Listas_control cambio ya que se había pasado un archivo a la clase de datos de Operaciones, este cambio de numeración ya fue aplicado a nivel de base de datos.
SICVECA 16 nov 2022: Pendiente de conversar con Lanfor
TI: Se atendió en la línea #25</t>
  </si>
  <si>
    <t>14/11/2022</t>
  </si>
  <si>
    <r>
      <rPr>
        <sz val="11"/>
        <color rgb="FF000000"/>
        <rFont val="Cambria"/>
        <family val="1"/>
      </rPr>
      <t xml:space="preserve">Esta validación es equivalente a la número 1
Respueta SUGEF 16 noviembre 2022:  Se revisa la validación 1 y 3 .  Se procederá a eliminar la validación número 3. (PENDIENTE DE APLICAR HASTA QUE  TI actualice).
</t>
    </r>
    <r>
      <rPr>
        <b/>
        <u/>
        <sz val="11"/>
        <color rgb="FF000000"/>
        <rFont val="Cambria"/>
        <family val="1"/>
      </rPr>
      <t>Respuetas CONASSIF 22 noviembre 2022</t>
    </r>
    <r>
      <rPr>
        <sz val="11"/>
        <color rgb="FF000000"/>
        <rFont val="Cambria"/>
        <family val="1"/>
      </rPr>
      <t xml:space="preserve">:  Se elimina la validación 3 por ser redundante con la número 1.  La número 1  tiene mayor espectro, que la 1.
</t>
    </r>
    <r>
      <rPr>
        <b/>
        <sz val="11"/>
        <color rgb="FFFF0000"/>
        <rFont val="Cambria"/>
        <family val="1"/>
      </rPr>
      <t>TI-BMQ-23-11-22: Se procedee a revisar y efectivamente ya se habia eliminado en BD por TI y en el documento por SUGEF. No hace falta aplicar ajuste aun en NEC ya que no se ha pasado aún.</t>
    </r>
  </si>
  <si>
    <t>BRYAN</t>
  </si>
  <si>
    <r>
      <t xml:space="preserve">Las validaciones son contradictorias entre si.
</t>
    </r>
    <r>
      <rPr>
        <b/>
        <u/>
        <sz val="11"/>
        <color rgb="FF000000"/>
        <rFont val="Cambria"/>
        <family val="1"/>
      </rPr>
      <t>SICVECA 22 noviembre 2022 (Leo):</t>
    </r>
    <r>
      <rPr>
        <sz val="11"/>
        <color rgb="FF000000"/>
        <rFont val="Cambria"/>
        <family val="1"/>
      </rPr>
      <t xml:space="preserve"> Se analizaron las validaciones 19 y 20.  Si bien las dos hacen referencia al campo "TipoClasificacionInstrumento", los disparadores son diferentes en cada una de ellas. La 19 hace referencia al campo "TipoInstrumento"  y la 20 al campo "IdInstrumento".  Estos  dos últimos campos son excluyentes entre si. Por lo que se determina que no son contradictorias.</t>
    </r>
  </si>
  <si>
    <t>19 y 20</t>
  </si>
  <si>
    <r>
      <rPr>
        <sz val="11"/>
        <color rgb="FF000000"/>
        <rFont val="Cambria"/>
        <family val="1"/>
      </rPr>
      <t xml:space="preserve">La columna de porcentaje no existe en la tabla TIPO_COLATERAL_FINANCIERO_NEC2024.
Respuesta SICVECA: La validación 22 (para los efectos) se denominó como la validación "General" del grupo de validaciones que están en el libro de tablas de matrices.  Dependiendo del tipo de colateral y la clasificación instrumento, va a ser el porcentaje.  Se solicita ver las validaciones "matriz" de esta tabla.
</t>
    </r>
    <r>
      <rPr>
        <b/>
        <sz val="11"/>
        <color rgb="FFFF0000"/>
        <rFont val="Cambria"/>
        <family val="1"/>
      </rPr>
      <t>TI-BMQ-23-11-22: La tabla es TIPO_COLATERAL_FINANCIERO_CALIFICACION_INSTRUMENTO_NEC2024. Pendiente programar.
TI-BMQ-29-11-22: se programa, pendiente revisión TI.</t>
    </r>
  </si>
  <si>
    <t>16/11/2022</t>
  </si>
  <si>
    <r>
      <rPr>
        <sz val="11"/>
        <color rgb="FF000000"/>
        <rFont val="Cambria"/>
        <family val="1"/>
      </rPr>
      <t xml:space="preserve">Revisar el nombre de las pestañas, no coincide elnumero del archivo con el nombre del archivo, ejemplo: 5206 Reales Validaciones, el archivo es el 5205.
</t>
    </r>
    <r>
      <rPr>
        <b/>
        <sz val="11"/>
        <color rgb="FF000000"/>
        <rFont val="Cambria"/>
        <family val="1"/>
      </rPr>
      <t xml:space="preserve">Respuesta SICVECA:  22 noviembre 2022 (Leo):
</t>
    </r>
    <r>
      <rPr>
        <sz val="11"/>
        <color rgb="FF000000"/>
        <rFont val="Cambria"/>
        <family val="1"/>
      </rPr>
      <t xml:space="preserve">    Hice una revisión de los nombres de los archivos, de acuerdo a la numeración de los XML y XSD que estan colgados en la carpeta de viejos y nuevos.  La numeración entre estas dos versiones es diferente.
 Favor de confirmar, si la numeración varió, ya que hay que modifcarla en los documentos.  Si es así, nos podrían pasar la nueva  descripcion para cada número.
</t>
    </r>
    <r>
      <rPr>
        <b/>
        <sz val="11"/>
        <color rgb="FFFF0000"/>
        <rFont val="Cambria"/>
        <family val="1"/>
      </rPr>
      <t>TI-BMQ-23-11-22:Efectivamente la numeración había cambiado desde que se solicitó por parte de Comisión que el Archivo Garantias Mobiliarias se eliminara de la Clase 52 y se trasladara a la Clase 51. Numeración Actual:
5201	NEC2024_Garantias_Polizas
5202	NEC2024_GarantiasCartasCredito
5203	NEC2024_GarantiasFacturasCedidas
5204	NEC2024_GarantiasFiduciarias
5205	NEC2024_GarantiasReales
5206	NEC2024_GarantiasValores</t>
    </r>
    <r>
      <rPr>
        <sz val="11"/>
        <color rgb="FF000000"/>
        <rFont val="Cambria"/>
        <family val="1"/>
      </rPr>
      <t xml:space="preserve">
SICVECA 24 noviembre 2022:  Se ajustó la numeración de los archivos en la hoja de estructura de cada archivo .  Re ajustó el número de archivo en cada una de las pestañas de hojas correspondiente.  Se ajusta la "lista desplegable".</t>
    </r>
  </si>
  <si>
    <t>Revisar la redaccion de la validación 10 en base de datos del archivo de garantias valores contra el excel de pablo porque está diferente a el maestro
SICVECA 22 noviembre 2022:  Para conversar con el Grupo SICVECA.</t>
  </si>
  <si>
    <t>10,11,12,13</t>
  </si>
  <si>
    <t>22/11/2022</t>
  </si>
  <si>
    <r>
      <rPr>
        <sz val="11"/>
        <color rgb="FF000000"/>
        <rFont val="Cambria"/>
        <family val="1"/>
      </rPr>
      <t xml:space="preserve">Las validaciones #2 y #7 se pueden eliminar ya que se validan desde el xsd, no es necesario las validaciones
SICVECA 22 noviembre 2022:  Leo.  Se eliminan las validaciones 2 y 7, ello  de acuerdo a lo recomendado por TI.
</t>
    </r>
    <r>
      <rPr>
        <b/>
        <sz val="11"/>
        <color rgb="FFFF0000"/>
        <rFont val="Cambria"/>
        <family val="1"/>
      </rPr>
      <t>TI-BMQ-23-11-22: se elimna de BD de desarrollo. La #7 no se habia programado debido al acuerdo anterior de no programar las validaciones de negativos por lo tanto no procede el ajuste.</t>
    </r>
  </si>
  <si>
    <t>2 y 7</t>
  </si>
  <si>
    <t>23/11/2022</t>
  </si>
  <si>
    <t>TI-BMQ-23-11-22: SUGERENCIA: Eliminar validacion #23 de Garantias Valores, segun acuerdo ya que a nivel de XSD se realiza la restriccion
SICVECA:  24 noviembre 2022.   Se elimina la validación 23  ( es renumerada).  Control a nivel de XSD
Los campos  "ValorFacial"  y " ValorMercado" No deben permitir datos negativos..</t>
  </si>
  <si>
    <t>24-11-2022</t>
  </si>
  <si>
    <t>TI-BMQ-24-11-22: El campo PorcentajeAjusteRC mencionado en la validacion #8 es no requerido, no obstante en la Matriz "TipoColateralFinanciero" cuando el TIPO_COLATERAL es 8 muestra un valor de 0 en el campo PorcentajeAjusteRC por lo tanto no son equivalentes a nivel de datos(NULO VERSUS 0).  
Solución #1: sería que en la matriz en vez de tener valores con 0 se sustituyan por NULO y de esta forma los campos de la matriz y la tabla garantias tendrian valores equivalentes.
Solución #2: El campo PorcentajeAjusteRC en la tabla NEC2024_GARANTIAS_FACTURAS_CEDIDAS debe ser requerido. Ademas modificar la validación #8 para que indique que en los casos que la CalificacionInstrumento es 2,3,4,5 el campo PORC_AJUSTE_RC debe ser 0. (en vez de no requerido).De esta manera los datos serán estrictamente iguales a la TABLA matriz contra la tabla de GARANTIAS.
TI-25-11-22: Pendiente Comisión lo converse con Pablo.***
SICVECA:  28 noviembre 2022.  Pendiente de revisar en grupo SICVECA.  
SICVECA (Leo) 9 enero 2023:  Se  aplica la solución 2, se modifica la descripción del campo y se pone obligatorio.</t>
  </si>
  <si>
    <t xml:space="preserve">SICVECA  24 NOV. 2022:   Leo. Ver los campos que hacen referencia a calificadoras, ya que no se acepta como mitigadores a empresas privadas.  Por valorar si se deben eliminar,  ESTA EN ANALISIS  Se le hizo consulta a Elvis.
 06 dic 2022:  Se eliminan los campos,  ver anotación del 06 dic.
</t>
  </si>
  <si>
    <t>SICVECA 30 11 2022:  Los campos que hacen referencia a  Calificación riesgo, se van a eliminar. Además eliminar las  validaciones.  En atención a CRM LAFISE 13280_2022. 
  06 dic 2022:  Se eliminan los campos,  ver anotación del 06 dic.</t>
  </si>
  <si>
    <t>Se eliman los siguientes campos del Archivo de  Garantías Fiduciarias&lt;TipoAsignacionCalificacion/&gt;,      &lt;CategoriaCalificacion/&gt;,      &lt;CodigoCalificacionRiesgo/&gt;,      &lt;CodigoEmpresaCalificadora/&gt;.  Se sustenta en consulta efectuada a los Directores Generales.  
   Además se eliminan las validaciones relacionadas a estos campos.</t>
  </si>
  <si>
    <t>Se eliman los siguientes campos del Archivo de  Garantías Fiduciarias  &lt;TipoAsignacionCalificacion/&gt;, &lt;CategoriaCalificacion/&gt;, &lt;CodigoCalificacionRiesgo/&gt;, &lt;CodigoEmpresaCalificadora/&gt;, &lt;CodigoCalificacionInstrumento  /&gt;.  Se sustenta en consulta efectuada a los Directores Generales.  
   Además se eliminan las validaciones relacionadas a estos campos.</t>
  </si>
  <si>
    <t>3, 5 y 4</t>
  </si>
  <si>
    <t>Al eliminar el campo CodigoCalificacionInstrumento, las validaciones #8 y #9 de facturas cedidas, hacen referencia a este campo, para que la tomen en cuenta.
Comentario SICVECA:  9 enero 2023.  se elimina las validaciones  8 y 9.</t>
  </si>
  <si>
    <t>5204 / GarantiasFacturasCed</t>
  </si>
  <si>
    <t>8 y 9</t>
  </si>
  <si>
    <t>Se incluye una nueva validación.  "  El valor del campo "PorcentajeAjusteRc" debe ser 40% "</t>
  </si>
  <si>
    <t>Se descarga el archivo para efecto de publicación</t>
  </si>
  <si>
    <t>Se incluyen las validaciones 92, 93 y 94.</t>
  </si>
  <si>
    <t>92, 93 y 94</t>
  </si>
  <si>
    <t xml:space="preserve">                   </t>
  </si>
  <si>
    <t>Nombre Entidad</t>
  </si>
  <si>
    <t>Banco de Costa Rica</t>
  </si>
  <si>
    <t>Se solicita remitir los comentarios a los documentos en consulta, a través de la siguiente plantilla.
   Para las colmnas de "Nombre Entidad, "Clase de Dato", "Nombre del Archivo" o "Nombre de la Tabla", se detalla una lista de selección</t>
  </si>
  <si>
    <t>Indicar
 a que Clase Dato Corresponde</t>
  </si>
  <si>
    <t>Indicar el nombre del
 Archivo
"Crediticio ó Garantías"
"cuando corresponda"</t>
  </si>
  <si>
    <t>Indicar el nombre de la 
Tabla
"cuando corresponda"</t>
  </si>
  <si>
    <t>Si comentario corresponde a una "validación"; indicar en número de validación</t>
  </si>
  <si>
    <t>Comentario</t>
  </si>
  <si>
    <t>Indicar la clase Dato</t>
  </si>
  <si>
    <t xml:space="preserve">  -indicar cuando corresponda-</t>
  </si>
  <si>
    <t>Lista Clase de Datos</t>
  </si>
  <si>
    <t>Archivos Clase Datos Crediticio</t>
  </si>
  <si>
    <t>Detalle de Tablas</t>
  </si>
  <si>
    <t>ENTIDADES FINANCIERAS</t>
  </si>
  <si>
    <t>Crediticio</t>
  </si>
  <si>
    <t>Crediticio / 1_ GENERALIDADES</t>
  </si>
  <si>
    <t>ARCHIVO</t>
  </si>
  <si>
    <t>Banco Nacional de Costa Rica</t>
  </si>
  <si>
    <t>Garantías</t>
  </si>
  <si>
    <t>Crediticio / 2_ DEUDORES</t>
  </si>
  <si>
    <t>CLASE_DATO</t>
  </si>
  <si>
    <t xml:space="preserve">Banco Hipotecario de la Vivienda   </t>
  </si>
  <si>
    <t>Tablas</t>
  </si>
  <si>
    <t>Crediticio / 3_ INGRESO_DEUDORES</t>
  </si>
  <si>
    <t>COMPORTAMIENTO_PAGO_SBD</t>
  </si>
  <si>
    <t>Banco Popular y de Desarrollo Comunal</t>
  </si>
  <si>
    <t>Otros</t>
  </si>
  <si>
    <t>Crediticio / 4_ OPERACIONES</t>
  </si>
  <si>
    <t>ETAPA</t>
  </si>
  <si>
    <t>Banco BAC San José S.A.</t>
  </si>
  <si>
    <t>Crediticio / 5_  ACTIVIDAD_ECONOMICA</t>
  </si>
  <si>
    <t>SECTOR_ECONOMICO</t>
  </si>
  <si>
    <t>Banco BCTS.A.</t>
  </si>
  <si>
    <t>Crediticio / 6_ NATURALEZA GASTO</t>
  </si>
  <si>
    <t>TIPO_ACTIVIDAD_ECONOMICA</t>
  </si>
  <si>
    <t>Banco Cathay de Costa Rica S.A.</t>
  </si>
  <si>
    <t>Crediticio / 7_ CUENTAS POR COBRAR</t>
  </si>
  <si>
    <t>TIPO_ACTIVIDADES_CAMBIO_CLIMATICO</t>
  </si>
  <si>
    <t>Banco CMB (Costa Rica) S.A.</t>
  </si>
  <si>
    <t>Crediticio / 8_ ORIGEN RECURSOS</t>
  </si>
  <si>
    <t>TIPO_ADQUISICION_BIEN</t>
  </si>
  <si>
    <t>Banco Davivienda (Costa Rica) S.A.</t>
  </si>
  <si>
    <t>Crediticio / 9_ CREDITOS SINDICADOS</t>
  </si>
  <si>
    <t>TIPO_AMBITO_CAMBIO_CLIMATICO</t>
  </si>
  <si>
    <t>Banco General (Costa Rica) S.A.</t>
  </si>
  <si>
    <t>Crediticio / 10_ CODEUDORES</t>
  </si>
  <si>
    <t>TIPO_ASIGNACION_CALIFICACION</t>
  </si>
  <si>
    <t>Banco Improsa S.A.</t>
  </si>
  <si>
    <t>Crediticio / 11_ MODIFICACIONES</t>
  </si>
  <si>
    <t>TIPO_BENEFICIARIO_SBD</t>
  </si>
  <si>
    <t>Banco Lafise S.A.</t>
  </si>
  <si>
    <t>Crediticio / 12_ OPERACIONES CANCELADAS</t>
  </si>
  <si>
    <t>TIPO_BIEN</t>
  </si>
  <si>
    <t>Banco Promérica de Costa Rica S.A.</t>
  </si>
  <si>
    <t>Crediticio / 13_ GARANTIAS OPERACIONES</t>
  </si>
  <si>
    <t>TIPO_CANTON</t>
  </si>
  <si>
    <t>Prival Bank (Costa Rica) S.A.</t>
  </si>
  <si>
    <t>Crediticio / 14.1 OPERACIONES BIENES REALIZABLES</t>
  </si>
  <si>
    <t>TIPO_CAPACIDAD_PAGO</t>
  </si>
  <si>
    <t>Scotiabank de Costa Rica S.A.</t>
  </si>
  <si>
    <t>Crediticio / 14.2 BIENES REALIZABLES</t>
  </si>
  <si>
    <t>TIPO_CARGA_CLASE_DATO</t>
  </si>
  <si>
    <t>Financiera Cafsa S.A.</t>
  </si>
  <si>
    <t>Crediticio / 14.3 BIENES REALIZABLES NO REPORTADOS</t>
  </si>
  <si>
    <t>TIPO_CARTERA</t>
  </si>
  <si>
    <t>Financiera Comeca S.A.</t>
  </si>
  <si>
    <t>Crediticio / 15_ FIDEICOMISOS</t>
  </si>
  <si>
    <t>TIPO_CATALOGO</t>
  </si>
  <si>
    <t>Financiera Monge S.A. (Antes Financiera Credilat S.A.) ES-6</t>
  </si>
  <si>
    <t>Crediticio / 16_ CAMBIO CLIMATICO</t>
  </si>
  <si>
    <t>TIPO_CATEGORIA_RIESGO_MICROCREDITO_SBD</t>
  </si>
  <si>
    <t>Financiera Desyfin S.A.</t>
  </si>
  <si>
    <t>Crediticio / 17_  GRAVAMENES</t>
  </si>
  <si>
    <t>TIPO_CATEGORIA_RIESGO_SBD</t>
  </si>
  <si>
    <t>Financiera Gente S.A.</t>
  </si>
  <si>
    <t>Crediticio / 18.  CUENTAS POR COBRAR NO ASOCIADAS</t>
  </si>
  <si>
    <t>TIPO_CLASIFICACION_INSTRUMENTO</t>
  </si>
  <si>
    <t>Coocique R.L.</t>
  </si>
  <si>
    <t>Crediticio / 19.  CUOTAS ATRASADAS</t>
  </si>
  <si>
    <t>TIPO_COMPORTAMIENTO_PAGO</t>
  </si>
  <si>
    <t>Coopavegra R.L.</t>
  </si>
  <si>
    <t>Crediticio / 20.  OPERACIONES NO REPORTADAS</t>
  </si>
  <si>
    <t>TIPO_CONDICIONES_ESPECIALES_DEUDOR</t>
  </si>
  <si>
    <t>Coopealianza R.L.</t>
  </si>
  <si>
    <t>Garantía / Generalidades</t>
  </si>
  <si>
    <t>TIPO_CUOTA</t>
  </si>
  <si>
    <t>Coopeamistad R.L.</t>
  </si>
  <si>
    <t>Garantía / Fiduciarias</t>
  </si>
  <si>
    <t>TIPO_CUOTA_PRINCIPAL</t>
  </si>
  <si>
    <t>Coopeande No.1 R.L.</t>
  </si>
  <si>
    <t>Garantía / Reles</t>
  </si>
  <si>
    <t>TIPO_DEPENDENCIA</t>
  </si>
  <si>
    <t>Coopeaya R.L.</t>
  </si>
  <si>
    <t>Garantía / Valores</t>
  </si>
  <si>
    <t>TIPO_DEUDOR_SFN</t>
  </si>
  <si>
    <t>Coopebanpo R.L.</t>
  </si>
  <si>
    <t>Garantía / Cartas Crédito</t>
  </si>
  <si>
    <t>TIPO_DISTRITO</t>
  </si>
  <si>
    <t>Coopecaja R.L.</t>
  </si>
  <si>
    <t>Garantía / Cedidas</t>
  </si>
  <si>
    <t>TIPO_DOCUMENTO_LEGAL</t>
  </si>
  <si>
    <t>Coopecar R.L.</t>
  </si>
  <si>
    <t>Garantía / Mobiliarias</t>
  </si>
  <si>
    <t>TIPO_ENFOQUE</t>
  </si>
  <si>
    <t>Coopefyl R.L.</t>
  </si>
  <si>
    <t>Garantía / Pólizas</t>
  </si>
  <si>
    <t>TIPO_ESTADO_OPERACION</t>
  </si>
  <si>
    <t>Coopegrecia R.L.</t>
  </si>
  <si>
    <t>TIPO_FUENTE_FINANCIAMIENTO</t>
  </si>
  <si>
    <t>Coopejudicial R.L.</t>
  </si>
  <si>
    <t>TIPO_FUENTE_FINANCIAMIENTO_CAMBIO_CLIMATICO</t>
  </si>
  <si>
    <t>Coopelecheros R.L.</t>
  </si>
  <si>
    <t>TIPO_GARANTIA</t>
  </si>
  <si>
    <t>Coopemédicos R.L.</t>
  </si>
  <si>
    <t>TIPO_GRADO_GRAVAMENES</t>
  </si>
  <si>
    <t>Coopemep R.L.</t>
  </si>
  <si>
    <t>TIPO_INDICADOR_GENERADOR_DIVISAS</t>
  </si>
  <si>
    <t>Coopenae R.L.</t>
  </si>
  <si>
    <t>TIPO_INDICADOR_GENERADOR_DIVISAS_SBD</t>
  </si>
  <si>
    <t>Coopesanmarcos R.L.</t>
  </si>
  <si>
    <t>TIPO_INDICADOR_INSCRIPCION</t>
  </si>
  <si>
    <t>Coopesanramón R.L.</t>
  </si>
  <si>
    <t>TIPO_INGRESO_DEUDOR</t>
  </si>
  <si>
    <t>Coopeservidores R.L.</t>
  </si>
  <si>
    <t>TIPO_INTERES_REFERENCIA_TASA_VARIABLE</t>
  </si>
  <si>
    <t>Coopeuna R.L.</t>
  </si>
  <si>
    <t>TIPO_MITIGADOR_RIESGO</t>
  </si>
  <si>
    <t>Credecoop R.L.</t>
  </si>
  <si>
    <t>TIPO_MODALIDAD_FUENTE_FINANCIAMIENTO</t>
  </si>
  <si>
    <t>Grupo Mutual Alajuela – La Vivienda de Ahorro y Préstamo</t>
  </si>
  <si>
    <t>TIPO_MODIFICACION_OPERACION</t>
  </si>
  <si>
    <t>Mutual Cartago de Ahorro y Préstamo</t>
  </si>
  <si>
    <t>TIPO_MOTIVO_BIEN_REALIZABLE_NO_REPORTADO</t>
  </si>
  <si>
    <t>Caja de Ahorro y Préstamos de la ANDE</t>
  </si>
  <si>
    <t>TIPO_MOTIVO_OPERACION_ESPECIAL</t>
  </si>
  <si>
    <t>Banca para el Desarrollo</t>
  </si>
  <si>
    <t>TIPO_NATURALEZA_GASTO</t>
  </si>
  <si>
    <t>TIPO_OPERACION</t>
  </si>
  <si>
    <t>TIPO_OPERACION_SFN</t>
  </si>
  <si>
    <t>TIPO_ORIGEN_RECURSOS</t>
  </si>
  <si>
    <t>TIPO_PERIODICIDAD</t>
  </si>
  <si>
    <t>TIPO_PERSONA</t>
  </si>
  <si>
    <t>TIPO_POLIZA</t>
  </si>
  <si>
    <t>TIPO_PROGRAMA_AUTORIZADO_SBD</t>
  </si>
  <si>
    <t>TIPO_PROVINCIA</t>
  </si>
  <si>
    <t>TIPO_RIESGO_CAMBIARIO_DEUDOR</t>
  </si>
  <si>
    <t>TIPO_SECTOR_PRIORITARIO_DEUDOR_SBD</t>
  </si>
  <si>
    <t>TIPO_SEGMENTO</t>
  </si>
  <si>
    <t>TIPO_SUBTEMAS_CAMBIO_CLIMATICO</t>
  </si>
  <si>
    <t>TIPO_TEMA_CAMBIO_CLIMÁTICO</t>
  </si>
  <si>
    <t>INDICE</t>
  </si>
  <si>
    <t>TABLAS</t>
  </si>
  <si>
    <t>TABLA</t>
  </si>
  <si>
    <t>CODIGO</t>
  </si>
  <si>
    <t>DESCRIPCION</t>
  </si>
  <si>
    <t>ACTIVO</t>
  </si>
  <si>
    <t>OBSERVACIONES</t>
  </si>
  <si>
    <t>Registro y Control</t>
  </si>
  <si>
    <t>Contable</t>
  </si>
  <si>
    <t xml:space="preserve">Operaciones Crediticias </t>
  </si>
  <si>
    <t>Encaje Legal y Art. 59</t>
  </si>
  <si>
    <t>Grupos y Conglomerados Financieros</t>
  </si>
  <si>
    <t>Legitimación de Capitales</t>
  </si>
  <si>
    <t>Información para el BCCR</t>
  </si>
  <si>
    <t>Cualitativo</t>
  </si>
  <si>
    <t>Crediticio Grupos y Conglomerados</t>
  </si>
  <si>
    <t>Registro y Control  Grupos Financieros y Conglomerados</t>
  </si>
  <si>
    <t xml:space="preserve">Hechos Relevantes Registro y Control </t>
  </si>
  <si>
    <t>Flujos Proyectados</t>
  </si>
  <si>
    <t>Personas</t>
  </si>
  <si>
    <t>Centro de Información Crediticia</t>
  </si>
  <si>
    <t>Inversiones y Depósitos</t>
  </si>
  <si>
    <t>Padrón</t>
  </si>
  <si>
    <t>Articulo 15 Ley 8204</t>
  </si>
  <si>
    <t>Derivados</t>
  </si>
  <si>
    <t>Financiero</t>
  </si>
  <si>
    <t>Información Complementaria de Grupos y Conglomerados Financieros</t>
  </si>
  <si>
    <t>Perfil Tecnológico Reglamento Reglamento TI</t>
  </si>
  <si>
    <t>Auditoria Externa Reglamento 14-09</t>
  </si>
  <si>
    <t>Plan Correctivo Preventivo Reglamento 14-09</t>
  </si>
  <si>
    <t>Pasivos</t>
  </si>
  <si>
    <t>Legitimación con base en riesgos</t>
  </si>
  <si>
    <t>Documentación Evidencias Inversiones</t>
  </si>
  <si>
    <t>Calce de plazos semanal</t>
  </si>
  <si>
    <t>Indicador de Cobertura de Liquidez - ICL</t>
  </si>
  <si>
    <t>Indicadores Financieros</t>
  </si>
  <si>
    <t>Crediticio SBD No Regulados</t>
  </si>
  <si>
    <t>Riesgo Operativo</t>
  </si>
  <si>
    <t>Legitimación de Capitales 12-21</t>
  </si>
  <si>
    <t>Capital Social</t>
  </si>
  <si>
    <t>1</t>
  </si>
  <si>
    <t>Dependencias</t>
  </si>
  <si>
    <t>Direccion para notificaciones</t>
  </si>
  <si>
    <t>Junta Directiva</t>
  </si>
  <si>
    <t>Accionistas</t>
  </si>
  <si>
    <t>Auditoria Interna</t>
  </si>
  <si>
    <t>Bancos Corresponsales</t>
  </si>
  <si>
    <t>Consejo de Administracion</t>
  </si>
  <si>
    <t>Facultad Puestos</t>
  </si>
  <si>
    <t>Asociados</t>
  </si>
  <si>
    <t>Socios</t>
  </si>
  <si>
    <t>Personas Puestos Externos</t>
  </si>
  <si>
    <t>Puestos Ejecutivos</t>
  </si>
  <si>
    <t>Puestos de Comites</t>
  </si>
  <si>
    <t>Tabla de Puestos</t>
  </si>
  <si>
    <t>Afinidad y Consanguinidad</t>
  </si>
  <si>
    <t>Registro y Control para grupos financieros</t>
  </si>
  <si>
    <t>Estados Contables Mensuales</t>
  </si>
  <si>
    <t>Datos Adicionales</t>
  </si>
  <si>
    <t>Flujo Efectivo Real</t>
  </si>
  <si>
    <t>Calce de plazos</t>
  </si>
  <si>
    <t>Informacion de brechas</t>
  </si>
  <si>
    <t>Flujo Efectivo Proyectado</t>
  </si>
  <si>
    <t>Estados Contables de Cierre</t>
  </si>
  <si>
    <t>Recuperacion de creditos</t>
  </si>
  <si>
    <t>Fideicomisos administrados</t>
  </si>
  <si>
    <t>N mayores acreedores</t>
  </si>
  <si>
    <t>0</t>
  </si>
  <si>
    <t>Deudores</t>
  </si>
  <si>
    <t>Operaciones Directas e Indirectas</t>
  </si>
  <si>
    <t>Cuotas Atrasadas</t>
  </si>
  <si>
    <t>Garantías de Operaciones</t>
  </si>
  <si>
    <t>Operaciones No Reportadas</t>
  </si>
  <si>
    <t>Inversiones en Instrumentos Financieros y Depósitos</t>
  </si>
  <si>
    <t>Bienes Realizables</t>
  </si>
  <si>
    <t>Bienes Realizables No Reportados</t>
  </si>
  <si>
    <t>Cuentas por Cobrar No Asociadas a Operaciones Crediticias</t>
  </si>
  <si>
    <t>Credito Moneda Extrajera Estructura y plazo</t>
  </si>
  <si>
    <t>Información de Operaciones de Financiamiento Climático</t>
  </si>
  <si>
    <t>EncajeLegal</t>
  </si>
  <si>
    <t>Encaje Legal BCCR</t>
  </si>
  <si>
    <t>Estados Contables Trimestrales</t>
  </si>
  <si>
    <t>Asientos de Ajuste y Eliminacion</t>
  </si>
  <si>
    <t>Estados Contables Consolidados</t>
  </si>
  <si>
    <t>Estados Contables Extranjeros</t>
  </si>
  <si>
    <t>Informacion Complementaria Adicional</t>
  </si>
  <si>
    <t>Informacion Complementaria Adicional Consolidada</t>
  </si>
  <si>
    <t>Informacion Complementaria Adicional Bancos Extranjeros</t>
  </si>
  <si>
    <t>Informacion Calculo de Suficiencia</t>
  </si>
  <si>
    <t>Operaciones en efectivo</t>
  </si>
  <si>
    <t>Enviadas Exterior</t>
  </si>
  <si>
    <t>Recibidas Exterior</t>
  </si>
  <si>
    <t>Pasivos Externos</t>
  </si>
  <si>
    <t>Detalle de transacciones intragrupo</t>
  </si>
  <si>
    <t>Detalle de operaciones activas</t>
  </si>
  <si>
    <t>Credito moneda extranjera generadores de ingreso grupo financiero</t>
  </si>
  <si>
    <t>Garantías Fiduciarias</t>
  </si>
  <si>
    <t>Garantías Reales</t>
  </si>
  <si>
    <t>Garantías Valores</t>
  </si>
  <si>
    <t>Garantías Cartas de Crédito</t>
  </si>
  <si>
    <t>Garantías Documentos de Cartas de Crédito de Importación</t>
  </si>
  <si>
    <t>Garantías Facturas Cedidas</t>
  </si>
  <si>
    <t>Fideicomisos de Garantía</t>
  </si>
  <si>
    <t>Garantías Mobiliarias</t>
  </si>
  <si>
    <t>Padron</t>
  </si>
  <si>
    <t>Operaciones Efectivo</t>
  </si>
  <si>
    <t>Operaciones Custodia Fideicomiso</t>
  </si>
  <si>
    <t>Legitimacion Remesas</t>
  </si>
  <si>
    <t>Datos de identificación</t>
  </si>
  <si>
    <t>Procesos del marco para la gestión de TI</t>
  </si>
  <si>
    <t>Procesos y subprocesos del negocio</t>
  </si>
  <si>
    <t>Organigrama entidad</t>
  </si>
  <si>
    <t>Comité TI</t>
  </si>
  <si>
    <t>Proveedores de TI</t>
  </si>
  <si>
    <t>Servicios de TI</t>
  </si>
  <si>
    <t>Documentos de TI</t>
  </si>
  <si>
    <t>Centros de Cómputo</t>
  </si>
  <si>
    <t>Equipos que soportan los servicios de TI</t>
  </si>
  <si>
    <t>Sistemas de Información</t>
  </si>
  <si>
    <t>Software de la entidad</t>
  </si>
  <si>
    <t>Proyectos TI</t>
  </si>
  <si>
    <t>Planes de adquisición TI</t>
  </si>
  <si>
    <t>Servicios Electrónicos</t>
  </si>
  <si>
    <t>Riesgos de TI</t>
  </si>
  <si>
    <t>Justificaciones Perfil Tecnológico</t>
  </si>
  <si>
    <t>Pasivos_Cuentas_Contables_220_230_260_270_280</t>
  </si>
  <si>
    <t>Pasivos Cuentas Contables 210</t>
  </si>
  <si>
    <t>Pasivos Tabla Vencimiento Obligaciones</t>
  </si>
  <si>
    <t>Pasivos Relacion Comercial</t>
  </si>
  <si>
    <t>Legitimacion Base Riesgos Archivo Clientes</t>
  </si>
  <si>
    <t>Legitimacion Base Riesgos Productos Servicios</t>
  </si>
  <si>
    <t>Legitimacion Base Riesgos Canales Distribucion</t>
  </si>
  <si>
    <t>Legitimacion Base Riesgos Zona Geografica</t>
  </si>
  <si>
    <t>Legitimacion Base Riesgos Monitoreo</t>
  </si>
  <si>
    <t>Legitimacion Base Riesgos Clientes Riesgo Alto</t>
  </si>
  <si>
    <t>DocumentacionEvidencia</t>
  </si>
  <si>
    <t>Calce de Plazos Semanal</t>
  </si>
  <si>
    <t>ICL</t>
  </si>
  <si>
    <t>SuficienciaPatrimonialEF</t>
  </si>
  <si>
    <t>SuficienciaPatrimonialMutuales</t>
  </si>
  <si>
    <t>IndicadoresFinancieros</t>
  </si>
  <si>
    <t>Crediticio SBD No Regulados Deudores</t>
  </si>
  <si>
    <t>Crediticio SBD No Regulados Operaciones Directas Indirectas</t>
  </si>
  <si>
    <t>Crediticio SBD No Regulados Garantias Operaciones</t>
  </si>
  <si>
    <t>Crediticio SBD No Regulados Informacion Operaciones No Reportadas</t>
  </si>
  <si>
    <t>Incidencias Riesgo Operativo</t>
  </si>
  <si>
    <t>Eventos Potenciales</t>
  </si>
  <si>
    <t>Datos BUST</t>
  </si>
  <si>
    <t>PUI Garantia Operacion</t>
  </si>
  <si>
    <t>Datos Modificaciones Credito Emergencia COVID19</t>
  </si>
  <si>
    <t xml:space="preserve">Reportes APNFD Comerciantes de metales y piedras preciosas Ley 7786 </t>
  </si>
  <si>
    <t>Reportes APNFD Casas de Empeño Ley 7786</t>
  </si>
  <si>
    <t xml:space="preserve">Reportes APNFD Organizaciones sin fines de lucro Ley 7786 </t>
  </si>
  <si>
    <t xml:space="preserve">Reportes APNFD Casinos Ley 7786 </t>
  </si>
  <si>
    <t xml:space="preserve">Reportes APNFD Administración de Dinero Ley 7786 </t>
  </si>
  <si>
    <t>Reportes APNFD RemesasTransferencias y Op. sist. sust. Ley 7786</t>
  </si>
  <si>
    <t>Reportes APNFD La emisión y/o la operación de tarjetas de crédito Ley 7786</t>
  </si>
  <si>
    <t>Reportes APNFD Facilidades Crediticias Ley 7786</t>
  </si>
  <si>
    <t>Reportes APNFD Proveedores de servicios fiduciarios Ley 7786</t>
  </si>
  <si>
    <t>Reportes APNFD Compra y venta de bienes inmuebles Ley 7786</t>
  </si>
  <si>
    <t>Operaciones en Efectivo Legitimación Acuerdo Sugef 12.21</t>
  </si>
  <si>
    <t>Transferencias Enviadas Exterior Legitimación Acuerdo Sugef 12.21</t>
  </si>
  <si>
    <t>Transferencias Recibidas Exterior Legitimación Acuerdo Sugef 12.21</t>
  </si>
  <si>
    <t>Carga Nueva</t>
  </si>
  <si>
    <t>Prórroga</t>
  </si>
  <si>
    <t>Sustitución</t>
  </si>
  <si>
    <t>Cambio</t>
  </si>
  <si>
    <t>FormulariosDinamicos</t>
  </si>
  <si>
    <t>Persona Fisica Nacional</t>
  </si>
  <si>
    <t>Persona Jurídica Nacional</t>
  </si>
  <si>
    <t>Extranjero Residente</t>
  </si>
  <si>
    <t>Entidad Financiera Extranjera</t>
  </si>
  <si>
    <t>Otra Persona Extranjera</t>
  </si>
  <si>
    <t>Empresa Extranjera No Financiera</t>
  </si>
  <si>
    <t>Fideicomisos</t>
  </si>
  <si>
    <t>Fondos De Inversión (1)</t>
  </si>
  <si>
    <t>Ahorro Obligatorio</t>
  </si>
  <si>
    <t>Banco Central de Costa Rica</t>
  </si>
  <si>
    <t>Bancos públicos  (incluye estatales y de derecho público) (no incluye al BANHVI)</t>
  </si>
  <si>
    <t>Bancos privados</t>
  </si>
  <si>
    <t>Bancos extraterritoriales  (Banca  Offshore de  grupos  financieros)</t>
  </si>
  <si>
    <t>Sociedades  privadas financieras  no bancarias  (sólo financieras)</t>
  </si>
  <si>
    <t>Mutuales de ahorro y préstamo</t>
  </si>
  <si>
    <t>Cooperativas de ahorro y crédito  (supervisadas por SUGEF)</t>
  </si>
  <si>
    <t>Cooperativas de ahorro y crédito  ( NO supervisadas por SUGEF)</t>
  </si>
  <si>
    <t>Asociaciones  solidaristas (supervisadas por SUGEF)</t>
  </si>
  <si>
    <t>Asociaciones  solidaristas (NO supervisadas por SUGEF)</t>
  </si>
  <si>
    <t xml:space="preserve">Sociedades de  seguros </t>
  </si>
  <si>
    <t xml:space="preserve">Instituciones  públicas  financieras  no  bancarias </t>
  </si>
  <si>
    <t>Otras entidades  privadas financieras no bancarias ( Caja de ANDE  y otras)</t>
  </si>
  <si>
    <t>Sociedades  administradoras de  fondos de  inversión</t>
  </si>
  <si>
    <t>Sociedades  administradoras de  fondos de  pensión</t>
  </si>
  <si>
    <t>Puestos de bolsa</t>
  </si>
  <si>
    <t>Casas  de cambio</t>
  </si>
  <si>
    <t>Otros  auxiliares  financieros</t>
  </si>
  <si>
    <t>Gobierno  Central</t>
  </si>
  <si>
    <t>Municipalidades</t>
  </si>
  <si>
    <t>Instituciones  públicas descentralizadas</t>
  </si>
  <si>
    <t>Fondos de  la seguridad social  (C.C.S.S.)</t>
  </si>
  <si>
    <t>Resto  de instituciones  públicas  no financieras</t>
  </si>
  <si>
    <t>Hogares (personas físicas)</t>
  </si>
  <si>
    <t>Sociedades (empresas)  privadas  no  financieras</t>
  </si>
  <si>
    <t>Instituciones  sin fines de lucro (sólo  aquellas que sirven a los  hogares)</t>
  </si>
  <si>
    <t>Gobiernos  extranjeros</t>
  </si>
  <si>
    <t>Entidades  públicas no financieras  extranjeras</t>
  </si>
  <si>
    <t>Autoridades monetarias extranjeras</t>
  </si>
  <si>
    <t>Entidades  financieras extranjeras (no incluye banca offshore ni  organismos  internacionales)</t>
  </si>
  <si>
    <t>Organismos  internacionales</t>
  </si>
  <si>
    <t>Sector privado no financiero  extranjero (personas físicas y jurídicas)</t>
  </si>
  <si>
    <t>Sector no identificado en venta de títulos con pacto de recompra</t>
  </si>
  <si>
    <t>Sector no identificado en  compra de títulos con pacto de reventa</t>
  </si>
  <si>
    <t>Deudores al dia o con morosidad de hasta 30 días en la entidad.</t>
  </si>
  <si>
    <t>Deudores con morosidad mayor a 30 días y hasta 60 días en la entidad.</t>
  </si>
  <si>
    <t>Deudores con morosidad mayor a 60 días y hasta 90 días en la entidad.</t>
  </si>
  <si>
    <t>Deudores con morosidad mayor a 90 días y hasta 120 días en la entidad.</t>
  </si>
  <si>
    <t>Deudores con morosidad mayor a 120 días y hasta 180 días en la entidad.</t>
  </si>
  <si>
    <t>Deudores con morosidad mayor a 180 días en la entidad.</t>
  </si>
  <si>
    <t>Deudores con morosidad:
mayor a 60 días y hasta 90 días en la entidad, o
menor a 60 días en la entidad, y que hayan presentado morosidad con el SBD mayor a 90 días en los últimos 12 meses, o
menor a 60 días en la entidad, y al menos ha sido objeto de una restructuración en cualquiera de sus operaciones con la entidad en los últimos 12 meses.</t>
  </si>
  <si>
    <t>Deudores con morosidad:
mayor a 90 días y hasta 120 días en la entidad.
menor a 90 días en la entidad y que hayan  presentado morosidad con el SBD mayor a 120 días en los últimos 12 meses, o
menor a 90 días, y al menos ha sido objeto de dos restructuraciones en cualquiera de sus operaciones con la entidad en los últimos 12 meses.</t>
  </si>
  <si>
    <t>Nivel 1</t>
  </si>
  <si>
    <t>Nivel 2</t>
  </si>
  <si>
    <t>Nivel 3</t>
  </si>
  <si>
    <t>Nivel 4</t>
  </si>
  <si>
    <t>Deudor en estado quiebra</t>
  </si>
  <si>
    <t>Deudor en concurso de acreedores</t>
  </si>
  <si>
    <t>Las operaciones de los titulares que estén declarados o se constate que se van a declarar en concurso de acreedores sin petición de liquidación.</t>
  </si>
  <si>
    <t>Deudor declarado o por declarar en liquidación, o con deterioro irrecuperable de solvencia</t>
  </si>
  <si>
    <t>Las operaciones respaldadas con garantías concedidas o avalados declarados en concurso de acreedores para los que conste que se haya declarado o se vaya a declarar la fase de liquidación, o sufran un deterioro notorio e irrecuperable de su solvencia, aun cuando el beneficiario del aval no haya reclamado su pago.</t>
  </si>
  <si>
    <t>Aplica otra normativa.</t>
  </si>
  <si>
    <t>Cuando el deudor solo presente operaciones que le aplica la normativas SUGEF 15-16, se debe indicar el código “0”.</t>
  </si>
  <si>
    <t>Es generador</t>
  </si>
  <si>
    <t>Generador de moneda extranjera</t>
  </si>
  <si>
    <t>Es No generador de bajo riesgo</t>
  </si>
  <si>
    <t>No Generador de moneda extranjera de bajo riesgo</t>
  </si>
  <si>
    <t>Es No generador de alto riesgo</t>
  </si>
  <si>
    <t>No Generador de moneda extranjera de alto riesgo</t>
  </si>
  <si>
    <t>Se podrá utilizar únicamente para las operaciones formalizadas antes de la entrada en vigencia de los nuevos cambios al ACUERDO SUGEF 1-05.
Se debe aplicar el concepto anterior a la modificación del Acuerdo SUGEF 1-05 (publicada en el Alcance 100 Diario Oficial La Gaceta del 17 de junio 2016, vigente a partir del 17 de setiembre )  para aquellos deudores que tienen operaciones vigentes otorgadas con la normativa SUGEF 1-05  y SUGEF 15-10</t>
  </si>
  <si>
    <t>No tiene calificación</t>
  </si>
  <si>
    <t>Emisión</t>
  </si>
  <si>
    <t xml:space="preserve">Emisor/Deudor/Fiador/Avalista/Obligado/Entidad emisora carta crédito </t>
  </si>
  <si>
    <t>A</t>
  </si>
  <si>
    <t>Agricultura, ganadería, caza y actividades de servicios conexas</t>
  </si>
  <si>
    <t>NIVEL 1</t>
  </si>
  <si>
    <t>A02</t>
  </si>
  <si>
    <t>Agricultura</t>
  </si>
  <si>
    <t>NIVEL 2</t>
  </si>
  <si>
    <t>A021</t>
  </si>
  <si>
    <t>Cultivo de cosechas</t>
  </si>
  <si>
    <t>NIVEL 3</t>
  </si>
  <si>
    <t>A0211</t>
  </si>
  <si>
    <t>Cultivo de  granos comestibles  y  verduras</t>
  </si>
  <si>
    <t>NIVEL 4</t>
  </si>
  <si>
    <t>A021101</t>
  </si>
  <si>
    <t>Arroz</t>
  </si>
  <si>
    <t>NIVEL 5</t>
  </si>
  <si>
    <t>A021102</t>
  </si>
  <si>
    <t>Café</t>
  </si>
  <si>
    <t>A021103</t>
  </si>
  <si>
    <t>Maíz</t>
  </si>
  <si>
    <t>A021104</t>
  </si>
  <si>
    <t>Frijol</t>
  </si>
  <si>
    <t>A021105</t>
  </si>
  <si>
    <t>Sorgo</t>
  </si>
  <si>
    <t>A021106</t>
  </si>
  <si>
    <t>Soya</t>
  </si>
  <si>
    <t>A021107</t>
  </si>
  <si>
    <t>Macadamia</t>
  </si>
  <si>
    <t>A021151</t>
  </si>
  <si>
    <t>Papa</t>
  </si>
  <si>
    <t>A021152</t>
  </si>
  <si>
    <t>Yuca</t>
  </si>
  <si>
    <t>A021153</t>
  </si>
  <si>
    <t>Camote</t>
  </si>
  <si>
    <t>A021154</t>
  </si>
  <si>
    <t>Ñame, ñampí y tiquizque</t>
  </si>
  <si>
    <t>A021190</t>
  </si>
  <si>
    <t>Otros  granos  comestibles y verduras</t>
  </si>
  <si>
    <t>A0212</t>
  </si>
  <si>
    <t>Cultivo de vegetales, hortalizas, legumbres  y especialidades horticulturas</t>
  </si>
  <si>
    <t>A021201</t>
  </si>
  <si>
    <t>Cultivo de vegetales</t>
  </si>
  <si>
    <t>A021202</t>
  </si>
  <si>
    <t>Cultivo de hortalizas, legumbres y especialidades  hortícolas</t>
  </si>
  <si>
    <t>A0213</t>
  </si>
  <si>
    <t>Cultivo de frutas, especies  y plantas  utilizables  para  preparar bebidas</t>
  </si>
  <si>
    <t>A02131</t>
  </si>
  <si>
    <t>Cultivo de frutas</t>
  </si>
  <si>
    <t>A0213101</t>
  </si>
  <si>
    <t>Melón</t>
  </si>
  <si>
    <t>NIVEL 6</t>
  </si>
  <si>
    <t>A0213102</t>
  </si>
  <si>
    <t>Banano</t>
  </si>
  <si>
    <t>A0213103</t>
  </si>
  <si>
    <t>Piña</t>
  </si>
  <si>
    <t>A0213104</t>
  </si>
  <si>
    <t>Sandía</t>
  </si>
  <si>
    <t>A0213190</t>
  </si>
  <si>
    <t>Otras frutas</t>
  </si>
  <si>
    <t>A02132</t>
  </si>
  <si>
    <t>Cultivo de especias</t>
  </si>
  <si>
    <t>A02133</t>
  </si>
  <si>
    <t>Cultivo de plantas utilizables para preparar bebidas  y alimentos</t>
  </si>
  <si>
    <t>A0213301</t>
  </si>
  <si>
    <t>Caña  de azúcar</t>
  </si>
  <si>
    <t>A0213302</t>
  </si>
  <si>
    <t>Palma aceitera</t>
  </si>
  <si>
    <t>A0213303</t>
  </si>
  <si>
    <t>Palmito</t>
  </si>
  <si>
    <t>A0213390</t>
  </si>
  <si>
    <t>Otras plantas utilizables para preparar bebidas y alimentos</t>
  </si>
  <si>
    <t>A0214</t>
  </si>
  <si>
    <t>Cultivo de flores,  productos de vivero y de  semillero</t>
  </si>
  <si>
    <t>A02141</t>
  </si>
  <si>
    <t>Cultivo de flores y plantas ornamentales  para vivero  (no para exportación)</t>
  </si>
  <si>
    <t>A02142</t>
  </si>
  <si>
    <t>Cultivo de flores y plantas ornamentales  para vivero  (para exportación)</t>
  </si>
  <si>
    <t>A02143</t>
  </si>
  <si>
    <t>Cultivo y elaboración de  otros productos de vivero</t>
  </si>
  <si>
    <t>A02144</t>
  </si>
  <si>
    <t>Cultivo de productos de semillero.</t>
  </si>
  <si>
    <t>A02149</t>
  </si>
  <si>
    <t>Cultivo de  otras plantas  y actividades  conexas</t>
  </si>
  <si>
    <t>A0218</t>
  </si>
  <si>
    <t>Otros cultivos</t>
  </si>
  <si>
    <t>A02181</t>
  </si>
  <si>
    <t>Algodón</t>
  </si>
  <si>
    <t>A02182</t>
  </si>
  <si>
    <t>Tabaco</t>
  </si>
  <si>
    <t>A02189</t>
  </si>
  <si>
    <t>A029</t>
  </si>
  <si>
    <t>Operaciones  de  la anterior  clasificación de  Agricultura no identificables en esta clasificación</t>
  </si>
  <si>
    <t>A0291</t>
  </si>
  <si>
    <t>Reparación de maquinaria agrícola</t>
  </si>
  <si>
    <t>A0292</t>
  </si>
  <si>
    <t>Pequeño agricultor</t>
  </si>
  <si>
    <t>A0293</t>
  </si>
  <si>
    <t>Adecuación agrícola</t>
  </si>
  <si>
    <t>A0299</t>
  </si>
  <si>
    <t>Resto de Operaciones  de  la anterior  clasificación de  Agricultura no identificables en esta clasificación</t>
  </si>
  <si>
    <t>A04</t>
  </si>
  <si>
    <t>Ganadería</t>
  </si>
  <si>
    <t>A041</t>
  </si>
  <si>
    <t>Cría  de animales</t>
  </si>
  <si>
    <t>A0411</t>
  </si>
  <si>
    <t>Cría, desarrollo y engorde de ganado vacuno</t>
  </si>
  <si>
    <t>A0412</t>
  </si>
  <si>
    <t>Cría y desarrollo de ganado lechero</t>
  </si>
  <si>
    <t>A0413</t>
  </si>
  <si>
    <t>Cría de aves</t>
  </si>
  <si>
    <t>A0414</t>
  </si>
  <si>
    <t>Cría de cabras y ovejas</t>
  </si>
  <si>
    <t>A0418</t>
  </si>
  <si>
    <t>Cría y desarrollo de ganado doble propósito (carne/leche)</t>
  </si>
  <si>
    <t>A0419</t>
  </si>
  <si>
    <t>Cría de otros animales</t>
  </si>
  <si>
    <t>A049</t>
  </si>
  <si>
    <t>Operaciones  de  la anterior  clasificación de  Ganadería  no identificables en esta clasificación</t>
  </si>
  <si>
    <t>A0491</t>
  </si>
  <si>
    <t>Pequeño productor ganadero</t>
  </si>
  <si>
    <t>A0499</t>
  </si>
  <si>
    <t>Resto de Operaciones  de  la anterior  clasificación de  Ganadería  no identificables en esta clasificación</t>
  </si>
  <si>
    <t>A06</t>
  </si>
  <si>
    <t>Agropecuario</t>
  </si>
  <si>
    <t>A061</t>
  </si>
  <si>
    <t>Cultivo de productos agrícolas en combinación con la cría de animales</t>
  </si>
  <si>
    <t>A0611</t>
  </si>
  <si>
    <t>Cultivo de productos agrícolas en combinación con la cría de animales (explotación mixta)</t>
  </si>
  <si>
    <t>A0619</t>
  </si>
  <si>
    <t>Actividades conexas de servicios agropecuarios, excepto las actividades  veterinarias</t>
  </si>
  <si>
    <t>A069</t>
  </si>
  <si>
    <t>Operaciones  de  la anterior  clasificación de  Agropecuario  no identificables en esta clasificación</t>
  </si>
  <si>
    <t>A08</t>
  </si>
  <si>
    <t>Caza</t>
  </si>
  <si>
    <t>A081</t>
  </si>
  <si>
    <t>Caza, pieles y repoblación de animales de caza, incluyendo actividades  conexas</t>
  </si>
  <si>
    <t>A10</t>
  </si>
  <si>
    <t>Silvicultura, extracción de madera  y  actividades de servicio conexas</t>
  </si>
  <si>
    <t>A101</t>
  </si>
  <si>
    <t>Silvicultura (reforestación) y actividades de servicio conexas</t>
  </si>
  <si>
    <t>A102</t>
  </si>
  <si>
    <t>Extracción de madera y actividades de servicio conexas</t>
  </si>
  <si>
    <t>A99999</t>
  </si>
  <si>
    <t>Actividades de la anterior clasificación reportadas en un nivel superior de A</t>
  </si>
  <si>
    <t>B</t>
  </si>
  <si>
    <t>Pesca y  acuacultura</t>
  </si>
  <si>
    <t>B02</t>
  </si>
  <si>
    <t>Pesca y  actividades  conexas (Global)</t>
  </si>
  <si>
    <t>B04</t>
  </si>
  <si>
    <t>Acuacultura y actividades de servicio conexas</t>
  </si>
  <si>
    <t>B06</t>
  </si>
  <si>
    <t>Pesca (detallado)</t>
  </si>
  <si>
    <t>B061</t>
  </si>
  <si>
    <t>Atún</t>
  </si>
  <si>
    <t>B062</t>
  </si>
  <si>
    <t>Camarones</t>
  </si>
  <si>
    <t>B063</t>
  </si>
  <si>
    <t>Tilapia</t>
  </si>
  <si>
    <t>B064</t>
  </si>
  <si>
    <t>Escama y tuburón</t>
  </si>
  <si>
    <t>B068</t>
  </si>
  <si>
    <t>Pesca de otros animales</t>
  </si>
  <si>
    <t>B069</t>
  </si>
  <si>
    <t>Actividades conexas de pesca</t>
  </si>
  <si>
    <t>B92</t>
  </si>
  <si>
    <t>Operaciones  de  la anterior  clasificación de  Pesca  no identificables en esta</t>
  </si>
  <si>
    <t>B921</t>
  </si>
  <si>
    <t>Pequeño pescador</t>
  </si>
  <si>
    <t>B929</t>
  </si>
  <si>
    <t>Resto de Operaciones  de  la anterior  clasificación de  Pesca  no identificables en esta clasificación</t>
  </si>
  <si>
    <t>B99999</t>
  </si>
  <si>
    <t>Actividades de la anterior clasificación reportadas en un nivel superior de B</t>
  </si>
  <si>
    <t>C</t>
  </si>
  <si>
    <t>Explotación de  minas y canteras</t>
  </si>
  <si>
    <t>C02</t>
  </si>
  <si>
    <t>Extracción de petróleo crudo y gas natural y actividades de servicio conexas</t>
  </si>
  <si>
    <t>C04</t>
  </si>
  <si>
    <t>Extracción de otras minas y canteras  y actividades de servicios conexas</t>
  </si>
  <si>
    <t>C06</t>
  </si>
  <si>
    <t>Preparación y enriquecimiento de minerales y actividades de servicios conexas</t>
  </si>
  <si>
    <t>C99999</t>
  </si>
  <si>
    <t>Actividades de la anterior clasificación reportadas en un nivel superior de C</t>
  </si>
  <si>
    <t>D</t>
  </si>
  <si>
    <t>Industria Manufacturera</t>
  </si>
  <si>
    <t>D02</t>
  </si>
  <si>
    <t>Elaboración de productos alimenticios (excepto bebidas)</t>
  </si>
  <si>
    <t>D021</t>
  </si>
  <si>
    <t>Producción, procesamiento y conservación de carnes, excepto pescado</t>
  </si>
  <si>
    <t>D0211</t>
  </si>
  <si>
    <t>Producción, procesamiento y conservación de carne de ganado vacuno</t>
  </si>
  <si>
    <t>D0212</t>
  </si>
  <si>
    <t>Producción, procesamiento y conservación de carne de ganado porcino</t>
  </si>
  <si>
    <t>D0213</t>
  </si>
  <si>
    <t>Producción, procesamiento y conservación de carne de pollo</t>
  </si>
  <si>
    <t>D0214</t>
  </si>
  <si>
    <t>Producción, procesamiento y conservación de carne de otro tipo de animales</t>
  </si>
  <si>
    <t>D0215</t>
  </si>
  <si>
    <t>Elaboración de embutidos</t>
  </si>
  <si>
    <t>D022</t>
  </si>
  <si>
    <t>Elaboración y conservación de pescado  y productos de pescado</t>
  </si>
  <si>
    <t>D023</t>
  </si>
  <si>
    <t>Elaboración de productos lácteos</t>
  </si>
  <si>
    <t>D024</t>
  </si>
  <si>
    <t>Elaboración de productos alimenticios a base de frutas, legumbres y hortalizas</t>
  </si>
  <si>
    <t>D025</t>
  </si>
  <si>
    <t>Elaboración de productos de molinería</t>
  </si>
  <si>
    <t>D0251</t>
  </si>
  <si>
    <t>Beneficio de arroz</t>
  </si>
  <si>
    <t>D0252</t>
  </si>
  <si>
    <t>Beneficio de café</t>
  </si>
  <si>
    <t>D0259</t>
  </si>
  <si>
    <t>Otros productos de molinería</t>
  </si>
  <si>
    <t>D026</t>
  </si>
  <si>
    <t>Elaboración de bebidas</t>
  </si>
  <si>
    <t>D029</t>
  </si>
  <si>
    <t>Manufactura de otros productos alimenticios</t>
  </si>
  <si>
    <t>D04</t>
  </si>
  <si>
    <t>Manufactura de   productos de tabaco</t>
  </si>
  <si>
    <t>D06</t>
  </si>
  <si>
    <t>Manufactura de productos textiles</t>
  </si>
  <si>
    <t>D08</t>
  </si>
  <si>
    <t>Manufactura de productos de vestir</t>
  </si>
  <si>
    <t>D10</t>
  </si>
  <si>
    <t>Curtido y adobo de cueros y  pieles; fabricación de maletas, bolsos de mano, artículos de talabartería y guarnicionería (excepto calzado)</t>
  </si>
  <si>
    <t>D12</t>
  </si>
  <si>
    <t>Elaboración de calzado</t>
  </si>
  <si>
    <t>D14</t>
  </si>
  <si>
    <t>Producción de madera y fabricación de productos de madera y corcho, excepto muebles</t>
  </si>
  <si>
    <t>D16</t>
  </si>
  <si>
    <t>Manufactura de muebles</t>
  </si>
  <si>
    <t>D18</t>
  </si>
  <si>
    <t>Producción de artículos de paja y de materiales trenzables</t>
  </si>
  <si>
    <t>D20</t>
  </si>
  <si>
    <t>Actividades de edición e impresión y de reproducción de grabaciones</t>
  </si>
  <si>
    <t>D22</t>
  </si>
  <si>
    <t>Refinamiento de petróleo, combustible nuclear y fabricación de coque.</t>
  </si>
  <si>
    <t>D24</t>
  </si>
  <si>
    <t>Fabricación de sustancias y productos químicos</t>
  </si>
  <si>
    <t>D26</t>
  </si>
  <si>
    <t>Manufactura de caucho y  productos plásticos</t>
  </si>
  <si>
    <t>D28</t>
  </si>
  <si>
    <t>Manufactura de otros productos minerales no metálicos.</t>
  </si>
  <si>
    <t>D30</t>
  </si>
  <si>
    <t>Manufactura de metales comunes</t>
  </si>
  <si>
    <t>D32</t>
  </si>
  <si>
    <t>Manufactura de productos metálicos, excepto maquinaria y equipo</t>
  </si>
  <si>
    <t>D34</t>
  </si>
  <si>
    <t>Manufactura de maquinaria y equipo de producción</t>
  </si>
  <si>
    <t>D36</t>
  </si>
  <si>
    <t>Manufactura de equipo de oficina, contabilidad e informática</t>
  </si>
  <si>
    <t>D38</t>
  </si>
  <si>
    <t>Manufactura de equipo y aparatos de radio, televisión y comunicaciones</t>
  </si>
  <si>
    <t>D40</t>
  </si>
  <si>
    <t>Manufactura de  otros aparatos eléctricos</t>
  </si>
  <si>
    <t>D42</t>
  </si>
  <si>
    <t>Manufactura de instrumentos médicos, de precisión,   ópticos y otros</t>
  </si>
  <si>
    <t>D44</t>
  </si>
  <si>
    <t>Manufactura de vehículos automotores, remolques y semirremolques</t>
  </si>
  <si>
    <t>D46</t>
  </si>
  <si>
    <t>Manufactura de otros tipo de equipos de transporte</t>
  </si>
  <si>
    <t>D48</t>
  </si>
  <si>
    <t>Manufactura de papel y productos de papel</t>
  </si>
  <si>
    <t>D50</t>
  </si>
  <si>
    <t>Manufactura de instrumentos musicales</t>
  </si>
  <si>
    <t>D52</t>
  </si>
  <si>
    <t>Reciclaje</t>
  </si>
  <si>
    <t>D80</t>
  </si>
  <si>
    <t>Manufactura de otros productos</t>
  </si>
  <si>
    <t>D92</t>
  </si>
  <si>
    <t>Operaciones  de  la anterior  clasificación de  Industria  no identificables en esta clasificación</t>
  </si>
  <si>
    <t>D921</t>
  </si>
  <si>
    <t>Adecuación industria</t>
  </si>
  <si>
    <t>D929</t>
  </si>
  <si>
    <t>Resto de Operaciones  de  la anterior  clasificación de  Industria  no identificables en esta clasificación</t>
  </si>
  <si>
    <t>D99999</t>
  </si>
  <si>
    <t>Actividades de la anterior clasificación reportadas en un nivel superior de D</t>
  </si>
  <si>
    <t>E</t>
  </si>
  <si>
    <t>Electricidad, telecomunicaciones,  gas y agua</t>
  </si>
  <si>
    <t>E02</t>
  </si>
  <si>
    <t>Producción y suministro de electricidad y actividades de servicios conexas</t>
  </si>
  <si>
    <t>E04</t>
  </si>
  <si>
    <t>Producción y suministro de   gas, vapor y agua caliente y actividades de servicios conexas</t>
  </si>
  <si>
    <t>E06</t>
  </si>
  <si>
    <t>Recolección, purificación y distribución de agua  y actividades de servicios conexas</t>
  </si>
  <si>
    <t>E08</t>
  </si>
  <si>
    <t>Telecomunicaciones y actividades de servicios conexas</t>
  </si>
  <si>
    <t>E92</t>
  </si>
  <si>
    <t>Operaciones  de  la anterior  clasificación de  Electricidad  no identificables en esta clasificación</t>
  </si>
  <si>
    <t>E921</t>
  </si>
  <si>
    <t>Adecuaciones Electricidad</t>
  </si>
  <si>
    <t>E929</t>
  </si>
  <si>
    <t>Resto de Operaciones  de  la anterior  clasificación de  Electricidad  no identificables en esta clasificación</t>
  </si>
  <si>
    <t>E99999</t>
  </si>
  <si>
    <t>Actividades de la anterior clasificación reportadas en un nivel superior de E</t>
  </si>
  <si>
    <t>F</t>
  </si>
  <si>
    <t>Construcción, compra  y reparación de inmuebles</t>
  </si>
  <si>
    <t>F02</t>
  </si>
  <si>
    <t>Construcción y reparación de inmuebles (el deudor ofrece este servicio)</t>
  </si>
  <si>
    <t>F021</t>
  </si>
  <si>
    <t>Compra y mejora  de inmuebles con fines comerciales</t>
  </si>
  <si>
    <t>F0211</t>
  </si>
  <si>
    <t>Compra de terreno con fines comerciales</t>
  </si>
  <si>
    <t>F0212</t>
  </si>
  <si>
    <t>Compra de inmueble nuevo con fines comerciales</t>
  </si>
  <si>
    <t>F0213</t>
  </si>
  <si>
    <t>Compra de inmueble usado con fines comerciales</t>
  </si>
  <si>
    <t>F0214</t>
  </si>
  <si>
    <t>Compra y mejora  de inmueble con fines comerciales</t>
  </si>
  <si>
    <t>F0215</t>
  </si>
  <si>
    <t>Mejora de  inmueble con fines comerciales</t>
  </si>
  <si>
    <t>F022</t>
  </si>
  <si>
    <t>Construcción de inmuebles</t>
  </si>
  <si>
    <t>F0221</t>
  </si>
  <si>
    <t>Construcción de casas y/o  edificios</t>
  </si>
  <si>
    <t>F0226</t>
  </si>
  <si>
    <t>Construcción de otros edificios comerciales</t>
  </si>
  <si>
    <t>F0229</t>
  </si>
  <si>
    <t>Construcción  de otros inmuebles</t>
  </si>
  <si>
    <t>F024</t>
  </si>
  <si>
    <t>Reparación de inmuebles</t>
  </si>
  <si>
    <t>F04</t>
  </si>
  <si>
    <t>Construcción, compra y reparación de inmuebles con fines no comerciales  (para uso del deudor o uso no comercial de terceros)</t>
  </si>
  <si>
    <t>F041</t>
  </si>
  <si>
    <t>Compra y reparación  de inmuebles con fines no comerciales</t>
  </si>
  <si>
    <t>F0411</t>
  </si>
  <si>
    <t>Compra de terreno para vivienda  (no incluye construcción)</t>
  </si>
  <si>
    <t>F0412</t>
  </si>
  <si>
    <t>Compra de vivienda nueva</t>
  </si>
  <si>
    <t>F0413</t>
  </si>
  <si>
    <t>Compra de vivienda usada</t>
  </si>
  <si>
    <t>F0414</t>
  </si>
  <si>
    <t>Compra y reparación de vivienda</t>
  </si>
  <si>
    <t>F0415</t>
  </si>
  <si>
    <t>Reparación de  vivienda</t>
  </si>
  <si>
    <t>F042</t>
  </si>
  <si>
    <t>Construcción de inmuebles con fines no comerciales</t>
  </si>
  <si>
    <t>F0421</t>
  </si>
  <si>
    <t>Construcción de vivienda para uso del deudor</t>
  </si>
  <si>
    <t>F0422</t>
  </si>
  <si>
    <t>Construcción de vivienda para uso no comercial de terceros</t>
  </si>
  <si>
    <t>F0429</t>
  </si>
  <si>
    <t>Construcción de otros inmuebles con fines no comerciales</t>
  </si>
  <si>
    <t>F92</t>
  </si>
  <si>
    <t>Operaciones  de  la anterior  clasificación de  Construcción  no identificables en esta clasificación</t>
  </si>
  <si>
    <t>F921</t>
  </si>
  <si>
    <t>Construcción</t>
  </si>
  <si>
    <t>F922</t>
  </si>
  <si>
    <t>Adecuaciones construcción</t>
  </si>
  <si>
    <t>F923</t>
  </si>
  <si>
    <t>Otros construcción</t>
  </si>
  <si>
    <t>F94</t>
  </si>
  <si>
    <t>Operaciones  de  la anterior  clasificación de  Vivienda  no identificables en esta clasificación</t>
  </si>
  <si>
    <t>F941</t>
  </si>
  <si>
    <t>Vivienda</t>
  </si>
  <si>
    <t>F942</t>
  </si>
  <si>
    <t>Adecuaciones vivienda</t>
  </si>
  <si>
    <t>F943</t>
  </si>
  <si>
    <t>Otros vivienda</t>
  </si>
  <si>
    <t>F99999</t>
  </si>
  <si>
    <t>Actividades de la anterior clasificación reportadas en un nivel superior de F</t>
  </si>
  <si>
    <t>G</t>
  </si>
  <si>
    <t>Comercio</t>
  </si>
  <si>
    <t>G02</t>
  </si>
  <si>
    <t>Comercio de vehículos de motor y motocicletas; venta al detalle de combustible automotriz</t>
  </si>
  <si>
    <t>G04</t>
  </si>
  <si>
    <t>Comercio al por mayor y  por comisión, excepto de vehículos de motor y  motocicletas</t>
  </si>
  <si>
    <t>G06</t>
  </si>
  <si>
    <t>Comercio al por menor, excepto de vehículos de motor, motocicletas y combustible automotriz</t>
  </si>
  <si>
    <t>G08</t>
  </si>
  <si>
    <t>Venta al detalle de combustible automotriz</t>
  </si>
  <si>
    <t>G90</t>
  </si>
  <si>
    <t>Otros de comercio</t>
  </si>
  <si>
    <t>G92</t>
  </si>
  <si>
    <t>Operaciones  de  la anterior  clasificación de  Comercio  no identificables en esta clasificación</t>
  </si>
  <si>
    <t>G921</t>
  </si>
  <si>
    <t>G922</t>
  </si>
  <si>
    <t>Adecuaciones comercio</t>
  </si>
  <si>
    <t>G923</t>
  </si>
  <si>
    <t>Otros comercio</t>
  </si>
  <si>
    <t>G99999</t>
  </si>
  <si>
    <t>Actividades de la anterior clasificación reportadas en un nivel superior de G</t>
  </si>
  <si>
    <t>H</t>
  </si>
  <si>
    <t>Hotel  y restaurante</t>
  </si>
  <si>
    <t>H02</t>
  </si>
  <si>
    <t>Hotel</t>
  </si>
  <si>
    <t>H04</t>
  </si>
  <si>
    <t>Restaurante</t>
  </si>
  <si>
    <t>H06</t>
  </si>
  <si>
    <t>Hotel y restaurante</t>
  </si>
  <si>
    <t>H99999</t>
  </si>
  <si>
    <t>Actividades de la anterior clasificación reportadas en un nivel superior de H</t>
  </si>
  <si>
    <t>I</t>
  </si>
  <si>
    <t>Transporte</t>
  </si>
  <si>
    <t>I02</t>
  </si>
  <si>
    <t>Transporte terrestre automotor</t>
  </si>
  <si>
    <t>I021</t>
  </si>
  <si>
    <t>Transporte de carga</t>
  </si>
  <si>
    <t>I022</t>
  </si>
  <si>
    <t>Transporte de estudiantes</t>
  </si>
  <si>
    <t>I023</t>
  </si>
  <si>
    <t>Transporte  de turistas</t>
  </si>
  <si>
    <t>I0231</t>
  </si>
  <si>
    <t>Alquiler de autos (a turistas)</t>
  </si>
  <si>
    <t>I0232</t>
  </si>
  <si>
    <t>Otras actividades de transporte de turistas</t>
  </si>
  <si>
    <t>I024</t>
  </si>
  <si>
    <t>Transporte público (Taxi)</t>
  </si>
  <si>
    <t>I025</t>
  </si>
  <si>
    <t>Transporte público (Autobús)</t>
  </si>
  <si>
    <t>I029</t>
  </si>
  <si>
    <t>Otro tipo de transporte automotor</t>
  </si>
  <si>
    <t>I04</t>
  </si>
  <si>
    <t>Transporte marítimo y de cabotaje</t>
  </si>
  <si>
    <t>I06</t>
  </si>
  <si>
    <t>Transporte aéreo</t>
  </si>
  <si>
    <t>I08</t>
  </si>
  <si>
    <t>Transporte  ferroviario</t>
  </si>
  <si>
    <t>I10</t>
  </si>
  <si>
    <t>Agencias de viaje</t>
  </si>
  <si>
    <t>I12</t>
  </si>
  <si>
    <t>Transporte de turistas (por cualquier medio)</t>
  </si>
  <si>
    <t>I90</t>
  </si>
  <si>
    <t>Actividades conexas  del servicio de transporte</t>
  </si>
  <si>
    <t>I99</t>
  </si>
  <si>
    <t>Operaciones  de  la anterior  clasificación de  Transporte  no identificables en esta clasificación</t>
  </si>
  <si>
    <t>I99999</t>
  </si>
  <si>
    <t>Actividades de la anterior clasificación reportadas en un nivel superior de I</t>
  </si>
  <si>
    <t>J</t>
  </si>
  <si>
    <t>Actividad  financiera y bursátil</t>
  </si>
  <si>
    <t>J02</t>
  </si>
  <si>
    <t>Intermediación financiera, excepto seguros, pensiones y fondos de inversión</t>
  </si>
  <si>
    <t>J04</t>
  </si>
  <si>
    <t>Operativa de Seguros</t>
  </si>
  <si>
    <t>J06</t>
  </si>
  <si>
    <t>Operativa  de fondos de inversión</t>
  </si>
  <si>
    <t>J08</t>
  </si>
  <si>
    <t>Operativa de planes de pensión</t>
  </si>
  <si>
    <t>J10</t>
  </si>
  <si>
    <t>Actividades auxiliares de intermediación financiera</t>
  </si>
  <si>
    <t>J101</t>
  </si>
  <si>
    <t>Actividad bursátil</t>
  </si>
  <si>
    <t>J109</t>
  </si>
  <si>
    <t>Resto de actividades auxiliares de intermediación financiera</t>
  </si>
  <si>
    <t>J99999</t>
  </si>
  <si>
    <t>Actividades de la anterior clasificación reportadas en un nivel superior de J</t>
  </si>
  <si>
    <t>K</t>
  </si>
  <si>
    <t>Actividades inmobiliarias, empresariales y de alquiler</t>
  </si>
  <si>
    <t>K02</t>
  </si>
  <si>
    <t>Actividades inmobiliarias</t>
  </si>
  <si>
    <t>K04</t>
  </si>
  <si>
    <t>Alquiler de bienes no contemplados en otras actividades</t>
  </si>
  <si>
    <t>K06</t>
  </si>
  <si>
    <t>Investigación y Desarrollo</t>
  </si>
  <si>
    <t>K90</t>
  </si>
  <si>
    <t>Otras actividades empresariales</t>
  </si>
  <si>
    <t>K99999</t>
  </si>
  <si>
    <t>Actividades de la anterior clasificación reportadas en un nivel superior de K</t>
  </si>
  <si>
    <t>M</t>
  </si>
  <si>
    <t>Enseñanza  (El deudor ofrece este servicio)</t>
  </si>
  <si>
    <t>M02</t>
  </si>
  <si>
    <t>Enseñanza Preescolar</t>
  </si>
  <si>
    <t>M04</t>
  </si>
  <si>
    <t>Enseñanza primaria</t>
  </si>
  <si>
    <t>M06</t>
  </si>
  <si>
    <t>Enseñanza primaria y secundaria</t>
  </si>
  <si>
    <t>M08</t>
  </si>
  <si>
    <t>Enseñanza universitaria y/o parauniversitaria</t>
  </si>
  <si>
    <t>M10</t>
  </si>
  <si>
    <t>Servicios de apoyo a la educación</t>
  </si>
  <si>
    <t>M12</t>
  </si>
  <si>
    <t>Enseñanza Técnica</t>
  </si>
  <si>
    <t>M90</t>
  </si>
  <si>
    <t>Otros servicios de enseñanza y actividades conexas</t>
  </si>
  <si>
    <t>M99999</t>
  </si>
  <si>
    <t>Actividades de la anterior clasificación reportadas en un nivel superior de M</t>
  </si>
  <si>
    <t>R</t>
  </si>
  <si>
    <t>Servicios  (El deudor ofrece este servicio)</t>
  </si>
  <si>
    <t>R02</t>
  </si>
  <si>
    <t>Reparación de bienes</t>
  </si>
  <si>
    <t>R021</t>
  </si>
  <si>
    <t>Reparación de vehículos de motor y motocicletas</t>
  </si>
  <si>
    <t>R022</t>
  </si>
  <si>
    <t>Reparación de electrodomésticos</t>
  </si>
  <si>
    <t>R029</t>
  </si>
  <si>
    <t>Reparación de otros  bienes</t>
  </si>
  <si>
    <t>R04</t>
  </si>
  <si>
    <t>Salud y trabajo social</t>
  </si>
  <si>
    <t>R041</t>
  </si>
  <si>
    <t>Clínica y hospital</t>
  </si>
  <si>
    <t>R042</t>
  </si>
  <si>
    <t>Laboratorio clínico (no incluidos en hospital)</t>
  </si>
  <si>
    <t>R043</t>
  </si>
  <si>
    <t>Trabajo social</t>
  </si>
  <si>
    <t>R044</t>
  </si>
  <si>
    <t>Servicio clínico veterinario y actividades conexas</t>
  </si>
  <si>
    <t>R049</t>
  </si>
  <si>
    <t>Otros servicios de  salud</t>
  </si>
  <si>
    <t>R06</t>
  </si>
  <si>
    <t>Almacenamiento</t>
  </si>
  <si>
    <t>R08</t>
  </si>
  <si>
    <t>Correo</t>
  </si>
  <si>
    <t>R10</t>
  </si>
  <si>
    <t>Drenaje, eliminación de desperdicios y aguas residuales, saneamiento y actividades similares</t>
  </si>
  <si>
    <t>R12</t>
  </si>
  <si>
    <t>Alquiler de maquinaria y equipo</t>
  </si>
  <si>
    <t>R14</t>
  </si>
  <si>
    <t>Publicidad</t>
  </si>
  <si>
    <t>R16</t>
  </si>
  <si>
    <t>Peluquería, maquillaje y  actividades  conexas</t>
  </si>
  <si>
    <t>R18</t>
  </si>
  <si>
    <t>Lavandería</t>
  </si>
  <si>
    <t>R20</t>
  </si>
  <si>
    <t>Vigilancia y seguridad</t>
  </si>
  <si>
    <t>R22</t>
  </si>
  <si>
    <t>Servicio y consultoría informática</t>
  </si>
  <si>
    <t>R221</t>
  </si>
  <si>
    <t>Servicio de internet</t>
  </si>
  <si>
    <t>R222</t>
  </si>
  <si>
    <t>Asesoría informática</t>
  </si>
  <si>
    <t>R223</t>
  </si>
  <si>
    <t>Desarrollo de  software</t>
  </si>
  <si>
    <t>R229</t>
  </si>
  <si>
    <t>Otras actividades conexas a servicio y asesoría de informática</t>
  </si>
  <si>
    <t>R24</t>
  </si>
  <si>
    <t>Actividades culturales,  deportivas y otras actividades de esparcimiento</t>
  </si>
  <si>
    <t>R26</t>
  </si>
  <si>
    <t>Cinematografía, ratio, televisión y otras actividades de entretenimiento</t>
  </si>
  <si>
    <t>R28</t>
  </si>
  <si>
    <t>Agencias de viaje e información  turística</t>
  </si>
  <si>
    <t>R30</t>
  </si>
  <si>
    <t>Alquiler de autos</t>
  </si>
  <si>
    <t>R32</t>
  </si>
  <si>
    <t>Actividades vinculadas al  turismo y no contempladas en otras otras actividades</t>
  </si>
  <si>
    <t>R90</t>
  </si>
  <si>
    <t>Otros  servicios</t>
  </si>
  <si>
    <t>R99</t>
  </si>
  <si>
    <t>Operaciones  de  la anterior  clasificación de  Servicios  no identificables en esta clasificación</t>
  </si>
  <si>
    <t>R99999</t>
  </si>
  <si>
    <t>Actividades de la anterior clasificación reportadas en un nivel superior de R</t>
  </si>
  <si>
    <t>S</t>
  </si>
  <si>
    <t>Consumo  (el deudor consume el bien o servicio)</t>
  </si>
  <si>
    <t>S02</t>
  </si>
  <si>
    <t>Tarjetas de crédito</t>
  </si>
  <si>
    <t>S04</t>
  </si>
  <si>
    <t>Compra de vehículos</t>
  </si>
  <si>
    <t>S06</t>
  </si>
  <si>
    <t>Reparación de vehículos</t>
  </si>
  <si>
    <t>S08</t>
  </si>
  <si>
    <t>Compra de menaje de casa</t>
  </si>
  <si>
    <t>S10</t>
  </si>
  <si>
    <t>Préstamos para  educación parauniversitaria</t>
  </si>
  <si>
    <t>S12</t>
  </si>
  <si>
    <t>Préstamos para eduación universitaria</t>
  </si>
  <si>
    <t>S14</t>
  </si>
  <si>
    <t>Préstamos para otras modalidades de educación o capacitación</t>
  </si>
  <si>
    <t>S16</t>
  </si>
  <si>
    <t>Servicios médicos</t>
  </si>
  <si>
    <t>S18</t>
  </si>
  <si>
    <t>Viaje</t>
  </si>
  <si>
    <t>S90</t>
  </si>
  <si>
    <t>Otros rubros de consumo</t>
  </si>
  <si>
    <t>S99</t>
  </si>
  <si>
    <t>Operaciones  de  la anterior  clasificación de Consumo no identificables en esta clasificación</t>
  </si>
  <si>
    <t>S99999</t>
  </si>
  <si>
    <t>Actividades de la anterior clasificación reportadas en un nivel superior de S</t>
  </si>
  <si>
    <t>X</t>
  </si>
  <si>
    <t>Otras actividades del sector privado no financiero</t>
  </si>
  <si>
    <t>X02</t>
  </si>
  <si>
    <t>Otras actividades</t>
  </si>
  <si>
    <t>X04</t>
  </si>
  <si>
    <t>Actividades productivas sin fines de lucro</t>
  </si>
  <si>
    <t>X90</t>
  </si>
  <si>
    <t>Actividades no contempladas en ninguna otra actividad</t>
  </si>
  <si>
    <t>X99</t>
  </si>
  <si>
    <t>Operaciones  de  la anterior  clasificación de  Otras Actividades  no identificables en esta clasificación</t>
  </si>
  <si>
    <t>X99999</t>
  </si>
  <si>
    <t>Actividades de la anterior clasificación reportadas en un nivel superior de X</t>
  </si>
  <si>
    <t>Y</t>
  </si>
  <si>
    <t>Administración pública</t>
  </si>
  <si>
    <t>Y02</t>
  </si>
  <si>
    <t>Salud</t>
  </si>
  <si>
    <t>Y04</t>
  </si>
  <si>
    <t>Enseñanza</t>
  </si>
  <si>
    <t>Y06</t>
  </si>
  <si>
    <t>Y08</t>
  </si>
  <si>
    <t>Seguridad</t>
  </si>
  <si>
    <t>Y10</t>
  </si>
  <si>
    <t>Electricidad</t>
  </si>
  <si>
    <t>Y12</t>
  </si>
  <si>
    <t>Telecomunicaciones</t>
  </si>
  <si>
    <t>Y14</t>
  </si>
  <si>
    <t>Hidrocarburos</t>
  </si>
  <si>
    <t>Y16</t>
  </si>
  <si>
    <t>Y18</t>
  </si>
  <si>
    <t>Y20</t>
  </si>
  <si>
    <t>Y22</t>
  </si>
  <si>
    <t>Operativa de fondos de inversión y de pensión</t>
  </si>
  <si>
    <t>Y24</t>
  </si>
  <si>
    <t>Otras actividades de asistencia social</t>
  </si>
  <si>
    <t>Y26</t>
  </si>
  <si>
    <t>Conservación ambiental</t>
  </si>
  <si>
    <t>Y28</t>
  </si>
  <si>
    <t>Construcción, administración y mantenimiento de infraestructura</t>
  </si>
  <si>
    <t>Y30</t>
  </si>
  <si>
    <t>Turismo</t>
  </si>
  <si>
    <t>Y32</t>
  </si>
  <si>
    <t>Cultura</t>
  </si>
  <si>
    <t>Y34</t>
  </si>
  <si>
    <t>Deportes</t>
  </si>
  <si>
    <t>Y90</t>
  </si>
  <si>
    <t>Otras actividades de la Administración Pública</t>
  </si>
  <si>
    <t>Y901</t>
  </si>
  <si>
    <t>Gestión Legislativa</t>
  </si>
  <si>
    <t>Y902</t>
  </si>
  <si>
    <t>Hacienda Pública</t>
  </si>
  <si>
    <t>Y903</t>
  </si>
  <si>
    <t>Gestión Judicial</t>
  </si>
  <si>
    <t>Y904</t>
  </si>
  <si>
    <t>Gestión Electoral</t>
  </si>
  <si>
    <t>Y909</t>
  </si>
  <si>
    <t>Otras actividades de la Administración Pública no contempladas en las anteriores</t>
  </si>
  <si>
    <t>Y99999</t>
  </si>
  <si>
    <t>Actividades de la anterior clasificación reportadas en un nivel superior de Y</t>
  </si>
  <si>
    <t>Z</t>
  </si>
  <si>
    <t>Actividades de entidades y órganos  extraterritoriales</t>
  </si>
  <si>
    <t>Z02</t>
  </si>
  <si>
    <t>Actividades del sector público externo</t>
  </si>
  <si>
    <t>Z04</t>
  </si>
  <si>
    <t>Actividades del sector privado externo</t>
  </si>
  <si>
    <t>Z99999</t>
  </si>
  <si>
    <t>Actividades de la anterior clasificación reportadas en un nivel superior de Z</t>
  </si>
  <si>
    <t>Nivel 1 : Igual o menor a 2.33</t>
  </si>
  <si>
    <t>Nivel 2 : Mayor a 2.33 e igual o menor a 3.66</t>
  </si>
  <si>
    <t>Nivel 3: Mayor a 3.66</t>
  </si>
  <si>
    <t>No es beneficiario SBD</t>
  </si>
  <si>
    <t xml:space="preserve">Micro Empresa </t>
  </si>
  <si>
    <t xml:space="preserve">Pequeña Empresa </t>
  </si>
  <si>
    <t>Mediana Empresa</t>
  </si>
  <si>
    <t xml:space="preserve">Emprendedor Persona física por iniciar una actividad económica </t>
  </si>
  <si>
    <t xml:space="preserve">Emprendedor Persona jurídica por iniciar una actividad económica </t>
  </si>
  <si>
    <t>Micro productor agropecuario</t>
  </si>
  <si>
    <t xml:space="preserve">Pequeño productor agropecuario </t>
  </si>
  <si>
    <t>Mediano productor agropecuario</t>
  </si>
  <si>
    <t>Modelos asociativos empresariales</t>
  </si>
  <si>
    <t>Micro empresa Industrial</t>
  </si>
  <si>
    <t>Pequeña empresa Industrial</t>
  </si>
  <si>
    <t>Mediana empresa Industrial</t>
  </si>
  <si>
    <t>Micro empresa Tecnología</t>
  </si>
  <si>
    <t>Pequeña empresa Tecnología</t>
  </si>
  <si>
    <t>Mediana empresa Tecnología</t>
  </si>
  <si>
    <t>Gran Empresa</t>
  </si>
  <si>
    <t>Emprendedor de Subsistencia</t>
  </si>
  <si>
    <t>Emprendedor de Oportunidad de Mercado (Dinámico)</t>
  </si>
  <si>
    <t>Emprendedor de Alto Impacto</t>
  </si>
  <si>
    <t>Emprendedor Tradicional</t>
  </si>
  <si>
    <t>Deudor con bajo riesgo cambiario del crédito</t>
  </si>
  <si>
    <t>Deudor con alto riesgo cambiario del crédito</t>
  </si>
  <si>
    <t>Trabajo Independiente</t>
  </si>
  <si>
    <t>El ingreso bruto mensual del deudor, estimado por la entidad según sus metodologías para la evaluación de la capacidad de los deudores, las cuales deben estar aprobadas por Junta Directiva o autoridad equivalente. 
En este sentido, la entidad, por ejemplo, podría requerir la presentación de: de la declaración jurada del impuesto de la renta, ó  una certificación de ingresos expedida por un tercero (CPA, CPI por ejemplo), ó una declaración jurada de ingresos</t>
  </si>
  <si>
    <t>Trabajo Asalariado</t>
  </si>
  <si>
    <t>El ingreso bruto mensual del deudor, estimado por la entidad según sus metodologías para la evaluación de la capacidad de los deudores, las cuales deben estar aprobadas por Junta Directiva o autoridad equivalente. 
En este sentido, la entidad, por ejemplo, podría requerir la presentación de: orden patronal expedida por la CCSS.</t>
  </si>
  <si>
    <t>Régimen Contributivo IVM</t>
  </si>
  <si>
    <t>Corresponde al ingreso percibido por pensiones del Régimen Contributivo por Invalidez, Vejez o Muerte;</t>
  </si>
  <si>
    <t>Régimen No Contributivo</t>
  </si>
  <si>
    <t>Corresponde al ingreso percibido por pensiones del Régimen no Contributivo.</t>
  </si>
  <si>
    <t>Pensiones Alimenticias Judiciales</t>
  </si>
  <si>
    <t>Corresponde al ingreso percibido por las pensiones respaldadas por un fallo judicial.</t>
  </si>
  <si>
    <t>Pensiones Alimenticias no Judiciales.</t>
  </si>
  <si>
    <t>Corresponde al ingreso percibido por las pensiones provenientes pero no respaldadas por un fallo judicial.</t>
  </si>
  <si>
    <t>Jubilación del exterior</t>
  </si>
  <si>
    <t>Corresponde al ingreso de personas retiradas proveniente de países del exterior</t>
  </si>
  <si>
    <t>Pensiones del Exterior</t>
  </si>
  <si>
    <t>Corresponde al ingreso de personas  proveniente de una pensión proveniente de países del exterior</t>
  </si>
  <si>
    <t>Alquileres</t>
  </si>
  <si>
    <t>Corresponde al ingreso percibido por por alquileres de (bienes raíces en general) viviendas, apartamentos, condominios, terrenos o vehículos o maquinaria</t>
  </si>
  <si>
    <t>Instrumentos Financieros</t>
  </si>
  <si>
    <t>Corresponde al ingreso percibido por intereses de depósitos a plazos</t>
  </si>
  <si>
    <t>Crédito</t>
  </si>
  <si>
    <t>Corresponde al ingreso percibido por la realización de operaciones crediticias contraídas con terceras personas.</t>
  </si>
  <si>
    <t>Dividendos</t>
  </si>
  <si>
    <t>Corresponde al ingreso percibido por los dividendos de las acciones de empresas. (puede que no trabaje en ella)</t>
  </si>
  <si>
    <t>Beneficios Asociación Solidarista</t>
  </si>
  <si>
    <t>Corresponde al ingreso percibido por las retribuciones como miembro de una asociación solidarista</t>
  </si>
  <si>
    <t>Beneficios Sector Cooperativo</t>
  </si>
  <si>
    <t>Corresponde al ingreso percibido por las retribuciones como miembro de una cooperativa de cualquier clase.</t>
  </si>
  <si>
    <t>Remesas</t>
  </si>
  <si>
    <t>Corresponde al ingreso percibido por remesas del exterior recibidas a nombre propio.</t>
  </si>
  <si>
    <t>Transferencias Internas</t>
  </si>
  <si>
    <t>Corresponde al ingreso percibido por transferencias de dinero de terceros en el territorio nacional.</t>
  </si>
  <si>
    <t>Sin Ingreso Demostrado</t>
  </si>
  <si>
    <t>Corresponde a la tasación del 50% del salario base mensual definido por el Poder Judicial, debido a que la entidad no cuenta con el sustento requerido en los párrafos anteriores, previa verificación de que el deudor realiza una actividad económica</t>
  </si>
  <si>
    <t>Dietas</t>
  </si>
  <si>
    <t>Ingresos percibidos por dietas</t>
  </si>
  <si>
    <t>Sin Ingreso</t>
  </si>
  <si>
    <t>La entidad no reporta ingreso
En caso de que el deudor reporte alguna actividad económica, pero la entidad no cuente con la información sobre el ingreso bruto del deudor, se tomará como referencia de ingreso bruto el 50% del salario base mensual, definido por el Poder Judicial.</t>
  </si>
  <si>
    <t>Deudor exclusivo de SBD.</t>
  </si>
  <si>
    <t>Deudor exclusivo del Sistema de Banca para el Desarrollo.</t>
  </si>
  <si>
    <t>Enfoque Operación.</t>
  </si>
  <si>
    <t xml:space="preserve">Segmentos indicados en los incisos del a) al d), y el numeral 3 del inciso e) del Reglamento sobre cálculo de estimaciones crediticias. </t>
  </si>
  <si>
    <t>Enfoque Deudor.</t>
  </si>
  <si>
    <t>Segmentos Indicads en los numerales 1 y 2 del inciso e) del Reglamento sobre cálculo de estimaciones crediticias.</t>
  </si>
  <si>
    <t>SBD (N/A)</t>
  </si>
  <si>
    <t>Revolutivos</t>
  </si>
  <si>
    <t>Segmento Créditos revolutivos de consumo aplicable a personas físicas</t>
  </si>
  <si>
    <t>Vehículos</t>
  </si>
  <si>
    <t>Créditos para vehículos aplicables a personas físicas y personas jurídicas,</t>
  </si>
  <si>
    <t>Consumo Regular</t>
  </si>
  <si>
    <t xml:space="preserve">Créditos de consumo regular </t>
  </si>
  <si>
    <t>Segmento Créditos para vivienda aplicables a personas físicas y personas jurídicas</t>
  </si>
  <si>
    <t>Empresarial 1</t>
  </si>
  <si>
    <t>Segmentos Empresarial 1, Personas jurídicas y físicas</t>
  </si>
  <si>
    <t>Empresarial 2</t>
  </si>
  <si>
    <t>Empresarial 2, Personas jurídicas y físicas</t>
  </si>
  <si>
    <t>Empresarial 3</t>
  </si>
  <si>
    <t>Segmento Empresarial 3: Personas jurídicas y físicas</t>
  </si>
  <si>
    <t>Etapa 1</t>
  </si>
  <si>
    <t>Etapa 2</t>
  </si>
  <si>
    <t>Etapa 3</t>
  </si>
  <si>
    <t>Directa</t>
  </si>
  <si>
    <t>R: No debe reportar “SaldoPendienteUtilizacionSinCompromiso” y el “SaldoPrincipalConDepositoPrevio” debe ser cero.
O1: Al menos uno de los siguientes saldos debe tener un valor mayor que cero: “SaldoPrincipal” (cuenta contable 130) o “SaldoPorDesembolsarConCompromiso” (cuenta contable 619.01).  
O2: Puede tener con valor mayor que cero los saldos “SaldoProductos”, “SaldoComisiones” y “SaldoCuentasCobrarAsociadasOperacion”.
O3: Este tipo de operaciones se utilizan para créditos con desembolsos por tractos, una vez desembolsado la totalidad del monto autorizado, se debe reportar como una operación crediticia directa (Tipo 1).</t>
  </si>
  <si>
    <t>Créditos con obligación de desembolso</t>
  </si>
  <si>
    <t xml:space="preserve">R: No debe reportar “SaldoPendienteUtilizacionSinCompromiso” y el “SaldoPrincipalConDepositoPrevio” debe ser cero.
O1: El registro para el que el campo “IdOperacionCredito” es igual al campo “IdLineaCredito”, se debe reportar con los campos “SaldoPrincipal” y “SaldoProductos” en cero.
El registro para el que el campo “IdOperacionCredito” es igual al campo “IdLineaCredito” debe registrar en el campo “MontoOperaciónAutorizado” el importe correspondiente al indicado en el contrato de crédito (mostrar saldo mayor a cero) y el campo “SaldoPorDesembolsarConCompromiso” (cuenta contable 615.02) puede registrase con un valor igual o mayor que cero.  </t>
  </si>
  <si>
    <t xml:space="preserve">Tarjetas de crédito </t>
  </si>
  <si>
    <t>El registro para el que el campo “IdOperacionCredito” es diferente al campo “IdLineaCredito”, el campo “SaldoPrincipal” debe ser mayor que cero y los campos “SaldoPorDesembolsarConCompromiso” y “MontoOperacionAutorizado” deben ser cero.
O2: Puede tener “SaldoProductos”, “SaldoComisiones” y “SaldoCuentasCobrarAsociadasOperacion”.
Este tipo de operaciones crediticias deben reportarse según el ejemplo que se muestra en el Excel adjunto. 
O3: Con este código se deben reportar las operaciones de líneas de crédito, que se formalizan con un identificador de operación (IdOperacionCredito) igual al identificador de la línea de crédito (IdLineaCredito), durante el tiempo que la operación esté vigente. 
O4: Para el registro cuyo campo “IdOperacionCredito” es igual al campo ”IdLineaCredito”, los siguientes campos no deben reportarse: “Frecuencia Pago Actual Principal”, “Frecuencia Pago Actual Intereses”, “Fecha Vencimiento Periodo Gracia Principal”, “Tasa Interés Nominal Vigente”, “Tipo Tasa”, “Factor De Tiempo”, “Forma Pago Vigente Principal”, “Forma Pago Vigente Intereses”, “Fecha Corte Operación”, “Fecha Próximo Pago Principal”, “Fecha Próximo Pago Interés”, “Fecha Amortización Hasta”, “Fecha Interés Hasta”, “Fecha Pago Pactado Principal”, “Fecha Pago Pactado Intereses”, “Tipo Cuota Principal”, “Monto Cuota Principal Actual”, “Monto Cuota Intereses Actual”</t>
  </si>
  <si>
    <t>Líneas de utilización automática excepto tarjetas de crédito</t>
  </si>
  <si>
    <t>R: No debe reportar: “SaldoPendienteUtilizacionSinCompromiso”, y los campos “SaldoPrincipalConDepositoPrevio”, “Saldo Principal y “Saldo Productos” deben ser cero.
O1: Puede tener con saldo mayor que cero los saldos “SaldoPorDesembolsarConCompromiso”, “Saldo Comisiones” y “SaldoCuentasCobrarAsociadasOperacion”.    
O2:  Puede darse el caso que ninguno de los campos mencionados en la observación O1  tenga saldo, por ejemplo cuando en una línea de crédito se ha desembolsado la totalidad del monto autorizado. En este caso debe reportarse la línea para efectos de reportarse la garantía.   Además en estos casos las operaciones directas de esta línea (desembolsos) deben indicar el “Porcentaje Responsabilidad” de la garantía de la línea de crédito y el campo “IdLineaCredito”
 O3: Con este código se deben reportar en la cuenta contable 615, excepto 615.02, las operaciones de líneas de crédito que se formalizan con un identificador de operación (IdOperacionCredito) igual al identificador de la línea de crédito (IdLineaCredito).
O4: Para el registro cuyo campo “IdOperacionCredito” es igual al campo “IdLineaCredito” y el “Saldo Principal” es cero, los siguientes campos no deben reportarse: “Frecuencia Pago Actual Principal”, “Frecuencia Pago Actual Intereses”, “Fecha Vencimiento Periodo Gracia Principal”, “Tasa Interés Nominal Vigente”, “Tipo Tasa”, “Factor De Tiempo”, “Forma Pago Vigente Principal”, “Forma Pago Vigente Intereses”, “Fecha Corte Operación”, “Fecha Próximo Pago Principal”, “Fecha Próximo Pago Interés”, “Fecha Amortización Hasta”, “Fecha Interés Hasta”, “Fecha Pago Pactado Principal”, “Fecha Pago Pactado Intereses”, “Tipo Cuota Principal”, “Monto Cuota Principal Actual”, “Monto Cuota Intereses Actual”.</t>
  </si>
  <si>
    <t>Línea de crédito con compromiso de desembolsar</t>
  </si>
  <si>
    <t>R: No debe reportar “SaldoPendienteUtilizacionSinCompromiso”. Además los saldos “SaldoPrincipal”, “SaldoProductos” y “SaldoPrincipalConDepositoPrevio” deben ser cero.
O1: Puede tener con saldo mayor que cero los saldos “SaldoPorDesembolsarConCompromiso”, “SaldoComisiones” y “SaldoCuentasCobrar AsociadasOperacion”.
O2: Ver O2 del código 4.
O3: Con este código se deben reportaren la cuenta contable 619, las operaciones de líneas de crédito que se formalizan con un identificador de operación igual al identificador de la línea de crédito.</t>
  </si>
  <si>
    <t xml:space="preserve">Líneas de crédito u operaciones crediticias otorgadas pendientes de utilización </t>
  </si>
  <si>
    <t>R: Los campos “SaldoPrincipalConDepositoPrevio”,  “SaldoPorDesembolsarConCompromiso”, “SaldoComisiones”, “Saldo Principal” y “Saldo Productos” deben ser cero.
O1: Puede tener con saldo mayor que cero los saldos, “Saldo Pendiente Utilización Sin Compromiso”, “SaldoCuentasCobrarAsociadasOperacion” y “Saldo Comisiones”. 
O2: Para las líneas de crédito, ver O2 del código 4.
O3: Con este código se deben reportar en la cuenta contable 814, las operaciones de líneas de crédito que se formalizan con un identificador de operación (IdOperacionCredito) igual al identificador de la línea de crédito (IdLineaCredito).
O4: Los siguientes campos no deben reportarse: “Frecuencia Pago Actual Principal”, “Frecuencia Pago Actual Intereses”, “Fecha Vencimiento Periodo Gracia Principal”, “Tasa Interés Nominal Vigente”, “Tipo Tasa”, “Factor De Tiempo”, “Forma Pago Vigente Principal”, “Forma Pago Vigente Intereses”, “Fecha Corte Operación”, “Fecha Próximo Pago Principal”, “Fecha Próximo Pago Interés”, “Fecha Amortización Hasta”, “Fecha Interés Hasta”, “Fecha Pago Pactado Principal”, “Fecha Pago Pactado Intereses”, “Tipo Cuota Principal”, “Monto Cuota Principal Actual”, “Monto Cuota Intereses Actual”
O5: Cuando se trate de operaciones crediticias (no de líneas de crédito) el campo “Id LíneaCredito” debe estar vacío. 
O6: En el caso de las operaciones crediticias, se deberá desembolsar mediante un único tracto, el cual se debe registrar como operación crediticia directa (Tipo 1), eliminando la operación tipo 6 mediante el código 24 de la Tabla “Tipo Motivo Operación No Reportada”.</t>
  </si>
  <si>
    <t>Contingencias crediticias</t>
  </si>
  <si>
    <t>R: Los campos “SaldoPorDesembolsarConCompromiso” y “SaldoProductos” deben reportarse en cero.  Además, el campo el “SaldoPendienteUtilizacionSinCompromiso” no debe reportarse.
O1: Debe tener con saldo mayor que cero el “SaldoPrincipal” (cuenta contable 611, 612, 613, 616, 617) y puede tener con valor mayor que cero los saldos “SaldoComisiones” y “SaldoPrincipalConDepositoPrevio”.
O2: Puede tener con saldo mayor que cero el “SaldoCuentasCobrarAsociadasOperacion”.</t>
  </si>
  <si>
    <t>Cartas de Crédito negociadas</t>
  </si>
  <si>
    <t>En este tipo de operación se debe de utilizar únicamente para las operaciones de cartas de crédito negociadas que de conformidad en el Plan RIF, se registran en las cuentas contables 131.33.2.06. 131.34.2.06, 132.33.2.06. 132.34.2.06, 133.33.2.06. 133.34.2.06.
R1:  El saldos principal siempre de be ser mayor a cero.
R2:  Obligatoriamente siempre deben reportarse los siguientes campos:
a.	“PaisDestinoCredito”
b.	“TipoEstadoOperacionCrediticia”
El fin es poder identificar las cartas de crédito negociadas, puede ser parte de una línea de crédito. Considerar que una vez formalizada la operación,  debe reportarse como una operación directa con el código 1.</t>
  </si>
  <si>
    <t xml:space="preserve">Crédito Salvamento </t>
  </si>
  <si>
    <t>R: Los campos “SaldoPorDesembolsarConCompromiso”, “SaldoComisiones” y “SaldoPrincipalConDepositoPrevio” deben reportarse en cero. Además, el campo “SaldoPendienteUtilizacionSinCompromiso” no debe reportarse. 
O1: Debe tener “SaldoPrincipal” mayor a cero, puede tener con saldo mayor que cero los saldos de los campos “SaldoProductos” y “SaldoCuentasCobrarAsociadasOperacion”.
O2: Las operaciones con este código no deben reportar el campo “IdLineaCredito”. 
Nota: Código creado en atención a la Directriz N°059-H, “Creación del Programa de Crédito de Salvamento para personas sobreendeudadas”.
_ _ _ __ _ _ __ _ _ __ _ _ __ _ _ __ _ _ _
NOTA: Nota:  Mediante Circular 3960_2019 del 23 de diciembre de 2019 se crea en la tabla Tipo Operación, el código 9 “Crédito Salvamento” amparado en la Directriz N°059-H  de la Presidencia de la República y el Ministerio de Hacienda del 15 de octubre de 2019, el cual queda utilizable por parte de las entidades a partir del cierre de diciembre 2019.</t>
  </si>
  <si>
    <t>Cuentas SUGEF</t>
  </si>
  <si>
    <t>Cuentas SUGEF para vaciados de estados contables.</t>
  </si>
  <si>
    <t>Flujos de Efectivo</t>
  </si>
  <si>
    <t>Calce de Plazos</t>
  </si>
  <si>
    <t>Brechas</t>
  </si>
  <si>
    <t>Catálogo Encaje Legal</t>
  </si>
  <si>
    <t>Informacion Complementaria Adicional de Grupos y Conglomerados</t>
  </si>
  <si>
    <t>Información Complementaria Adicional de Grupos y Conglomerados</t>
  </si>
  <si>
    <t>Datos Adicionales para Suficiencia de Grupos y conglomerados</t>
  </si>
  <si>
    <t>Catálogo Contable 2008</t>
  </si>
  <si>
    <t>Catálogo de cuentas contables 2008</t>
  </si>
  <si>
    <t>Catalogo ICL</t>
  </si>
  <si>
    <t>Catalogo Suficiencia Patrimonial</t>
  </si>
  <si>
    <t>Catalogo Indicadores Financieros</t>
  </si>
  <si>
    <t>VIGENTE</t>
  </si>
  <si>
    <t xml:space="preserve">Operaciones sin atraso </t>
  </si>
  <si>
    <t>VENCIDA MENOR O IGUAL A 90 DIAS</t>
  </si>
  <si>
    <t>Operacion con atraso menor a 91 dias</t>
  </si>
  <si>
    <t>VENCIDA A MAS DE 90 DIAS Y MENOR O IGUAL A 180 DIAS</t>
  </si>
  <si>
    <t>Operacion con atraso menor a 181 dias</t>
  </si>
  <si>
    <t>VENCIDA A MAS DE 180 DIAS</t>
  </si>
  <si>
    <t>Operacion con atraso mayor a 180 dias</t>
  </si>
  <si>
    <t>COBRO JUDICIAL</t>
  </si>
  <si>
    <t>Las operaciones con saldos sobre los que se haya exigido judicialmente su reembolso mediante la ejecución de la garantía, aunque estén garantizados, así como las operaciones sobre las que el deudor haya suscitado litigio de cuya resolución dependa su cobro.</t>
  </si>
  <si>
    <t>PROCESO EJECUCION GARANTIA</t>
  </si>
  <si>
    <t>Las operaciones en las que se haya iniciado el proceso de ejecución de la garantía real, incluyendo las operaciones de arrendamiento financiero en las que la entidad haya decidido rescindir el contrato para recuperar la posesión del bien</t>
  </si>
  <si>
    <t>Pagos irregulares</t>
  </si>
  <si>
    <t>Diario</t>
  </si>
  <si>
    <t>Semanal</t>
  </si>
  <si>
    <t>Quincenal</t>
  </si>
  <si>
    <t>Mensual</t>
  </si>
  <si>
    <t xml:space="preserve">Bimestral  </t>
  </si>
  <si>
    <t>Trimestral</t>
  </si>
  <si>
    <t>Cuatrimestral</t>
  </si>
  <si>
    <t xml:space="preserve">Semestral </t>
  </si>
  <si>
    <t>Anual</t>
  </si>
  <si>
    <t xml:space="preserve">Al vencimiento </t>
  </si>
  <si>
    <t>Bisemanal</t>
  </si>
  <si>
    <t>Octomensual</t>
  </si>
  <si>
    <t>Principal según cuota nivelada</t>
  </si>
  <si>
    <t>Principal constante</t>
  </si>
  <si>
    <t>Principal constante con incrementos periódicos</t>
  </si>
  <si>
    <t>Principal pactado a fechas específicas</t>
  </si>
  <si>
    <t>Principal al vencimiento</t>
  </si>
  <si>
    <t>Libor 3 meses</t>
  </si>
  <si>
    <t>Libor 6 meses</t>
  </si>
  <si>
    <t>Prime Rate</t>
  </si>
  <si>
    <t>Tasa Básica Pasiva BCCR</t>
  </si>
  <si>
    <t>Tasa Política Monetaria CR</t>
  </si>
  <si>
    <t>Tasa Redescuento BCCR</t>
  </si>
  <si>
    <t>Otra</t>
  </si>
  <si>
    <t>Sin tasa de referencia</t>
  </si>
  <si>
    <t>Tasa SOFR</t>
  </si>
  <si>
    <t>TRI 1 SEMANA</t>
  </si>
  <si>
    <t>TRI 1 MES</t>
  </si>
  <si>
    <t>TRI 3 MESES</t>
  </si>
  <si>
    <t>TRI 6 MESES</t>
  </si>
  <si>
    <t>TRI 9 MESES</t>
  </si>
  <si>
    <t>TRI 12 MESES</t>
  </si>
  <si>
    <t>TRI 24 MESES</t>
  </si>
  <si>
    <t>TRI 36 MESES</t>
  </si>
  <si>
    <t>TRI 60 MESES</t>
  </si>
  <si>
    <t>No aplica</t>
  </si>
  <si>
    <t>Adelante mujeres</t>
  </si>
  <si>
    <t>Arrendamiento financiero del SBD</t>
  </si>
  <si>
    <t>Atención de emergencias nacionales</t>
  </si>
  <si>
    <t>Créditos verdes del SBD</t>
  </si>
  <si>
    <t>Financiamiento de los sectores industria, comercio y servicios</t>
  </si>
  <si>
    <t>Financiamiento del sector agropecuario - agrícola</t>
  </si>
  <si>
    <t>Financiamiento del sector agropecuario ganadería mayor y ganadería menor</t>
  </si>
  <si>
    <t>Financiamiento para emprendedurismo del SBD</t>
  </si>
  <si>
    <t>Financiamiento para la aceleración de empresas del SBD</t>
  </si>
  <si>
    <t>Fomento para la asociatividad</t>
  </si>
  <si>
    <t>Fortalecimiento Pequeña Empresa mandato (esquema 3re piso)</t>
  </si>
  <si>
    <t>INCOPESCA</t>
  </si>
  <si>
    <t>MAG-PIPA</t>
  </si>
  <si>
    <t>PPZN</t>
  </si>
  <si>
    <t>Prazas</t>
  </si>
  <si>
    <t>Reconversión productiva</t>
  </si>
  <si>
    <t>FIDAGRO</t>
  </si>
  <si>
    <t>Capital semilla</t>
  </si>
  <si>
    <t>Créditos avalados por el Finade (Avales Individuales)</t>
  </si>
  <si>
    <t>Créditos avalados por el Finade (Avales de Cartera)</t>
  </si>
  <si>
    <t>Créditos avalados por el Finade (Avales con Contragarantías)</t>
  </si>
  <si>
    <t>Programa de financiamiento para el fortalecimiento de las pymes y encadenamientos turísticos.</t>
  </si>
  <si>
    <t>Programa de renovación para la transformación y competitividad del sector cafetalero.</t>
  </si>
  <si>
    <t>Programa para el fortalecimiento y competitividad del sector cacaotero.</t>
  </si>
  <si>
    <t>Programa Sectorial de Financiamiento, Fomento y Encadenamiento productivo del sector ganadero. IICA-SBD</t>
  </si>
  <si>
    <t>Programa de Financiamiento para Mipymes Exportadoras</t>
  </si>
  <si>
    <t>Programa Capital de Riesgo</t>
  </si>
  <si>
    <t>Tarjeta de Crédito MIPYMES</t>
  </si>
  <si>
    <t>No aplica (operación no es SBD)</t>
  </si>
  <si>
    <t>Adulto Mayor</t>
  </si>
  <si>
    <t>Asociación de Desarrollo</t>
  </si>
  <si>
    <t>Cooperativas</t>
  </si>
  <si>
    <t>Jóvenes Emprendedores</t>
  </si>
  <si>
    <t>Microcréditos atendidos por Microfinancieras</t>
  </si>
  <si>
    <t>Minorías Étnicas</t>
  </si>
  <si>
    <t>Mujeres</t>
  </si>
  <si>
    <t>Persona con discapacidad</t>
  </si>
  <si>
    <t>Producción más limpia</t>
  </si>
  <si>
    <t>Zona de menor desarrollo</t>
  </si>
  <si>
    <t>No atiende Sector Prioritario</t>
  </si>
  <si>
    <t>Consorcios Pyme</t>
  </si>
  <si>
    <t>Sector Creativo y Cultural</t>
  </si>
  <si>
    <t>Operación que le aplica normativa SUGEF 1-05</t>
  </si>
  <si>
    <t>Se usa en crediticio</t>
  </si>
  <si>
    <t>Operación que le aplica normativa SUGEF 15-10</t>
  </si>
  <si>
    <t>Operación que le aplica normativa SUGEF 15-16, Deudor Beneficiario de Banca para el Desarrollo</t>
  </si>
  <si>
    <t>Operación que le aplica normativa SUGEF 15-16, Deudor Beneficiario de Microcrédito</t>
  </si>
  <si>
    <t>Opereación otorgada por Operadores No Regulados</t>
  </si>
  <si>
    <t>Se usa en crediticio SBD</t>
  </si>
  <si>
    <t>Deudor con todas sus operaciones amparadas a Acuerdo 1-05</t>
  </si>
  <si>
    <t>Deudor con todas sus operaciones amparadas a Acuerdo 15-10</t>
  </si>
  <si>
    <t>Deudor con todas sus operaciones amparadas a Acuerdo 1-05 y 15-10</t>
  </si>
  <si>
    <t>Deudor Beneficiario de Microcrédito</t>
  </si>
  <si>
    <t>Deudor Beneficiario de Banca para el Desarrollo (Todos los beneficiarios del SBD excepto los del Articulo 6, incisos f), Ley 9274).</t>
  </si>
  <si>
    <t>Deudor presenta una combinación de operaciones del Acuerdo 1-05 y operaciones de Banca para el Desarrollo, Beneficiario de Microcrédito.</t>
  </si>
  <si>
    <t>Deudor presenta una combinación de operaciones del Acuerdo 1-05 y operaciones de Banca para el Desarrollo, Beneficiario del SBD (Excepto los del Artículo 6, inciso f), Ley 9274</t>
  </si>
  <si>
    <t>Deudor presenta una combinación de operaciones del Acuerdo 15-10 y operaciones de Banca para el Desarrollo, Beneficiario de Microcrédito</t>
  </si>
  <si>
    <t>Deudor presenta una combinación de operaciones del Acuerdo 15-10 y operaciones de Banca para el Desarrollo, Beneficiario del SBD (Excepto los del Artículo 6, inciso f), Ley 9274</t>
  </si>
  <si>
    <t>Deudor presenta una combinación de operaciones del acuerdo 1-05, acuerdo 15-10 y operac. Banca Desarrollo, Beneficiario del SBD (Excepto los articulos 6, insiso f) Ley 9274 (Tipo Operaciones 1-2-3)</t>
  </si>
  <si>
    <t>Deudor presenta una combinación de operaciones del acuerdo 1-05, acuerdo 15-10 y operaciones de Banca para el Desarrollo, Beneficiario de microcrédito. (Tipo de Operaciones 1-2-4)</t>
  </si>
  <si>
    <t>Deudor de Operadores No Regulados</t>
  </si>
  <si>
    <t>Compra de terreno para la actividad productiva</t>
  </si>
  <si>
    <t>Compra de inmueble nuevo para la actividad productiva</t>
  </si>
  <si>
    <t>Compra de inmueble usado para la actividad productiva</t>
  </si>
  <si>
    <t>Compra y reparación de inmueble para la actividad productiva</t>
  </si>
  <si>
    <t>Reparación de inmueble para la actividad productiva</t>
  </si>
  <si>
    <t>Construcción de inmueble para la actividad productiva</t>
  </si>
  <si>
    <t>Compra de maquinaria y equipo para la actividad productiva</t>
  </si>
  <si>
    <t>Construcción de vía  de transporte y/o puente</t>
  </si>
  <si>
    <t>Construcción de puerto (aéreo o marítimo)</t>
  </si>
  <si>
    <t>Reparación  de maquinaria y equipo para la actividad productiva</t>
  </si>
  <si>
    <t>Compra de activos biológicos y capital para llevarlos a la etapa productiva (Renovación) SBD</t>
  </si>
  <si>
    <t>Compra de activos biológicos y capital para la actividad productiva (Reactivación) SBD</t>
  </si>
  <si>
    <t>Compra de activos biológicos y capital para la actividad productiva (Reconversión) SBD</t>
  </si>
  <si>
    <t>Otros gastos de capital para la actividad productiva</t>
  </si>
  <si>
    <t>Capital de trabajo</t>
  </si>
  <si>
    <t>Capital de Asistencia SBD</t>
  </si>
  <si>
    <t>Cancelación de deudas</t>
  </si>
  <si>
    <t>Gestión de regulación de precios según inciso 5) del Art. 61 de la LOSBN</t>
  </si>
  <si>
    <t>Articulo 61 Ley 1644 Operaciones activas Instituto Costarricense Acueductos y Alcantarillados (ICAA)</t>
  </si>
  <si>
    <t>Articulo 61 Ley 1644 Operaciones activas Caja Costarricense de Seguro Social (CCSS)</t>
  </si>
  <si>
    <t>Artículo 61, inciso 5) Ley 1644, Operaciones activas Municipalidades</t>
  </si>
  <si>
    <t>Artículo 61, inciso 5) Ley 1644, Operaciones activas Instituto Costarricense de Electricidad</t>
  </si>
  <si>
    <t>Artículo 135, Operaciones activas Fideicomisos de Obra Pública</t>
  </si>
  <si>
    <t>Artículo 135, Operaciones activas Instituto Costarricense de Electricidad</t>
  </si>
  <si>
    <t>Otros gastos de operación para la actividad productiva</t>
  </si>
  <si>
    <t>Compra de terreno para construcción de vivienda del deudor</t>
  </si>
  <si>
    <t>Compra de terreno para construcción de vivienda de terceros sin fines comerciales</t>
  </si>
  <si>
    <t>Construcción de vivienda para el deudor</t>
  </si>
  <si>
    <t>Construcción de vivienda para terceros sin fines comerciales</t>
  </si>
  <si>
    <t>Compra y/o reparación de vivienda para el deudor</t>
  </si>
  <si>
    <t>Compra y/o reparación de vivienda para terceros, sin fines comerciales</t>
  </si>
  <si>
    <t>Ampliación y mejora de vivienda del deudor</t>
  </si>
  <si>
    <t>Compra y/o reparación de vehículos</t>
  </si>
  <si>
    <t>Educación de deudor o terceros</t>
  </si>
  <si>
    <t>Otros destinos de gasto no lucrativo</t>
  </si>
  <si>
    <t>RECURSOS EXTERNOS, EN MONEDA NACIONAL, CANALIZADOS POR EL BANCO CENTRAL</t>
  </si>
  <si>
    <t>RECURSOS EXTERNOS, EN MONEDA EXTRANJERA, CANALIZADOS POR EL BANCO CENTRAL</t>
  </si>
  <si>
    <t>RECURSOS EXTERNOS CONTRATADOS EN MONEDA NACIONAL MEDIANTE CREDITOS DIRECTOS</t>
  </si>
  <si>
    <t>RECURSOS EXTERNOS CONTRATADOS EN MONEDA EXTRANJERA MEDIANTE CREDITOS DIRECTOS</t>
  </si>
  <si>
    <t>RECURSOS EXTERNOS CONTRATADOS EN MONEDA NACIONAL MEDIANTE LINEAS DE CREDITO</t>
  </si>
  <si>
    <t>RECURSOS EXTERNOS CONTRATADOS EN MONEDA EXTRANJERA MEDIANTE LINEAS DE CREDITO</t>
  </si>
  <si>
    <t>RECURSOS EXTERNOS CAPTADOS MEDIANTE EMISION DE DEUDA EN EL EXTERIOR</t>
  </si>
  <si>
    <t>OTRA FUENTES DE RECURSOS EXTERNOS EN MONEDA NACIONAL</t>
  </si>
  <si>
    <t>OTRAS FUENTES DE RECURSOS EXTERNOS EN MONEDA EXTRANJERA</t>
  </si>
  <si>
    <t>RECURSOS DEL FONDO DE CREDITO PARA EL DESARROLLO (Ley 8634).</t>
  </si>
  <si>
    <t>RECURSOS DEL FONDO DE FINANCIAMIENTO PARA EL DESARROLLO (Ley 8634).</t>
  </si>
  <si>
    <t>Otras fuentes de recursos con avales del Fondo de Avales o Garantías del Fideicomiso Nacional para el Desarrollo (FINADE)</t>
  </si>
  <si>
    <t>Recursos provenientes depósitos y captaciones que se utilicen para financiar créditos vivienda largo plazo(ART.62bis y 62ter,Ley7558 LeyOrgánicaBCCR)</t>
  </si>
  <si>
    <t>Recursos ODP (operaciones diferidas a pazo) BCCR</t>
  </si>
  <si>
    <t>OTRAS FUENTES DE RECURSOS</t>
  </si>
  <si>
    <t>Recursos del art 59 inciso i Ley 1644 préstamo a la Banca Estatal</t>
  </si>
  <si>
    <t>Recursos del FCD art 59 inciso i Ley 1644 dirigido a Beneficiario Final</t>
  </si>
  <si>
    <t>Recursos del FCD art 59 inciso i Ley 1644 dirigido a Operador Financiero Regulado Autorizado SBD No Bancos Privados</t>
  </si>
  <si>
    <t>Recursos del FCD art 59 inciso i Ley 1644 dirigido a Operador Financiero No Regulado Autorizado SBD</t>
  </si>
  <si>
    <t>Recursos del FCD art 59 inciso i Ley 1644 dirigido a FINADE</t>
  </si>
  <si>
    <t>Recursos del FCD art 59 inciso iiLey 1644 dirigido a Operador Financiero Regulado Segundo Piso  (No Bancos Públicos o Privados) a Beneficiario Final</t>
  </si>
  <si>
    <t>Recursos del FCD art 59 inciso ii Ley 1644 dirigido a Operador Financiero No Regulado Segundo Piso  a Beneficiario Final</t>
  </si>
  <si>
    <t>Recursos del FCD art 59 inciso ii Ley 1644 dirigido a Beneficiario Final</t>
  </si>
  <si>
    <t>Recursos art 59 inciso ii Ley 1644 dirigido a Operador Financiero Regulado No Bancos Públicos o Privados</t>
  </si>
  <si>
    <t>Recursos art 59 inciso ii Ley 1644 dirigido a Operador Financiero No Regulado</t>
  </si>
  <si>
    <t>Recursos art 59 inciso ii Ley 1644 Operador Financiero Regulado Segundo Piso (No Bancos Públicos o Privados) dirigido a Beneficiario Final</t>
  </si>
  <si>
    <t>Recursos art 59 inciso ii Ley 1644 Operador Financiero No Regulado Segundo Piso dirigido a Beneficiario Final</t>
  </si>
  <si>
    <t>Recursos del FOFIDE Operador Primer Piso Dirigido a Beneficiario Final</t>
  </si>
  <si>
    <t>Recursos del FOFIDE Dirigido a Operador financiero regulado No Bancos Públicos</t>
  </si>
  <si>
    <t>Recursos del FOFIDE Dirigido a Operador Financiero No Regulado</t>
  </si>
  <si>
    <t>Recursos del FOFIDE Operador Financiero Regulado Segundo Piso (No bancos Públicos) dirigido a Beneficiario Final</t>
  </si>
  <si>
    <t>Recursos del FOFIDE Operador Financiero No Regulado Segundo Piso dirigido a Beneficiario Final</t>
  </si>
  <si>
    <t>Recursos del FINADE: Fondo de Financiamiento Dirigido a Beneficiario Final</t>
  </si>
  <si>
    <t>Recursos del FINADE: Banca Segundo Piso Operadores Financieros Regulados</t>
  </si>
  <si>
    <t>Recursos del FINADE: Banca Segundo Piso Operadores Financieros No Regulados</t>
  </si>
  <si>
    <t>Recursos del FINADE Operador Financiero Regulado Segundo Piso dirigido a Beneficiario Final</t>
  </si>
  <si>
    <t>Recursos del FINADE Operador Financiero No Regulado Segundo Piso dirigido a Beneficiario Final</t>
  </si>
  <si>
    <t>Recursos del FINADE: Fondo de Servicios no Financieros y Desarrollo Empresarial</t>
  </si>
  <si>
    <t>Recursos del FINADE: Fondo de Capital Semilla y Capital de Riesgo</t>
  </si>
  <si>
    <t>Recursos del FINADE: Fondo de Financiamiento de primas sector agropecuario</t>
  </si>
  <si>
    <t>Otras Fuentes de Recursos (diferentes a las de SBD) garantizados con fondo de avales y garantías del FINADE.</t>
  </si>
  <si>
    <t>Recursos del Fondo de Garantías del Fondo especial para el desarrollo de las micros, pequeñas y medianas empresas (FODEMIPYME)</t>
  </si>
  <si>
    <t>Modificación de la Identificación del deudor: Sea por Novación o por Otra situación</t>
  </si>
  <si>
    <t>Compra</t>
  </si>
  <si>
    <t>Refinanciamiento total</t>
  </si>
  <si>
    <t>Refinanciamiento parcial</t>
  </si>
  <si>
    <t>Readecuada</t>
  </si>
  <si>
    <t>Operación castigada reactivada</t>
  </si>
  <si>
    <t>Cambio físico tarjeta de crédito</t>
  </si>
  <si>
    <t>Variación del “MontoOperaciónAutorizado” por tipo de cambio</t>
  </si>
  <si>
    <t>Restructuración por la ampliación o reforzamiento de garantías</t>
  </si>
  <si>
    <t xml:space="preserve">Aplica solo para deudores que reciben recursos de la cartera de banca de desarrollo ( TipoOperacionSFN 3 y 4 otorgadas a partir del 1 de octubre 2016) y se debe utilizar cuando la entidad financiera reporta valor en el campo OperacionesRestructuradasSBD del Archivo de Deudores.
Acuerdo SUGEF 15-16, Artículo 3 inciso o)). </t>
  </si>
  <si>
    <t>Restructuración reducción en la tasa de interés</t>
  </si>
  <si>
    <t>Aplica solo para deudores que reciben recursos de la cartera de banca de desarrollo ( TipoOperacionSFN 3 y 4 otorgadas a partir del 1 de octubre 2016) y se debe utilizar cuando la entidad financiera reporta valor en el campo OperacionesRestructuradasSBD del Archivo de Deudores.
Acuerdo SUGEF 15-16, Artículo 3 inciso o).</t>
  </si>
  <si>
    <t>Restructuración ampliación del plazo</t>
  </si>
  <si>
    <t>Restructuración concesión de un periodo de gracia</t>
  </si>
  <si>
    <t>Restructuración ampliación de un periodo de gracia</t>
  </si>
  <si>
    <t>Variación del "MontoOperaciónAutorizado" por sobregiro en tarjeta de crédito</t>
  </si>
  <si>
    <t>Prórroga por Emergencia Nacional COVID19</t>
  </si>
  <si>
    <t>Readecuación por Emergencia Nacional COVID19</t>
  </si>
  <si>
    <t>Refinanciamiento Parcial por Emergencia Nacional COVID19</t>
  </si>
  <si>
    <t>Refinanciamiento Total por Emergencia Nacional COVID19</t>
  </si>
  <si>
    <t>Readecuación por afectación Ley 9859</t>
  </si>
  <si>
    <t>Refinanciamiento Parcial por afectación Ley 9859</t>
  </si>
  <si>
    <t>Refinanciamiento Total por afectación Ley 9859</t>
  </si>
  <si>
    <t>Prórroga ODP (operaciones diferidas a plazo).</t>
  </si>
  <si>
    <t>Readecuación ODP (operaciones diferidas a plazo).</t>
  </si>
  <si>
    <t>Refinanciamiento Parcial ODP (operaciones diferidas a plazo).</t>
  </si>
  <si>
    <t>No Mitigadora</t>
  </si>
  <si>
    <t xml:space="preserve">Codigo para reportar una operación que en periodos anteriores se les reportó una garantía pero que en el periodo actual dejó de tenerla o la garantía ya no mitiga.  </t>
  </si>
  <si>
    <t>Garantía Fiduciaria</t>
  </si>
  <si>
    <t>Garantía Real</t>
  </si>
  <si>
    <t>Garantía Valores</t>
  </si>
  <si>
    <t xml:space="preserve">Garantía Carta de Crédito </t>
  </si>
  <si>
    <t>Garantía Documentos de Cartas de Crédito de Importación</t>
  </si>
  <si>
    <t>Garantía Factura Cedida</t>
  </si>
  <si>
    <t>Fideicomiso de Garantía</t>
  </si>
  <si>
    <t>Operaciones crediticias otorgadas por una entidad supervisada por la SUGEF.</t>
  </si>
  <si>
    <t>Este tipo de garantía no tiene archivo específico ya que la información de esta garantía la reporta la entidad financiera supervisada por la SUGEF que cede la operación como garantía.</t>
  </si>
  <si>
    <t>No anotada/No inscrita</t>
  </si>
  <si>
    <t>Anotada</t>
  </si>
  <si>
    <t>Inscrita</t>
  </si>
  <si>
    <t>Dación de pago</t>
  </si>
  <si>
    <t>Adjudicados en remate judicial</t>
  </si>
  <si>
    <t>Bienes adquiridos para ser entregados en arrendamiento financiero</t>
  </si>
  <si>
    <t>Bienes adquiridos o producidos para la venta</t>
  </si>
  <si>
    <t>Propiedad planta y equipo fuera del uso</t>
  </si>
  <si>
    <t>Otros bienes realizables</t>
  </si>
  <si>
    <t xml:space="preserve">Bienes realizables entregados en fideicomiso </t>
  </si>
  <si>
    <t>Terrenos (lotes y fincas)</t>
  </si>
  <si>
    <t>Edificaciones (viviendas, edificios, condominios, maquinaria fijada permanentemente al terreno y otros)</t>
  </si>
  <si>
    <t>Vehículos ( Automóviles, camiones, equipo pesado rodante, motores y otros)</t>
  </si>
  <si>
    <t>Maquinaria y Equipo (Excepto equipo cómputo)</t>
  </si>
  <si>
    <t>Equipo Cómputo</t>
  </si>
  <si>
    <t>Materias Primas (excepto maderas, animales, cultivos y frutos)</t>
  </si>
  <si>
    <t>Mobiliario</t>
  </si>
  <si>
    <t>Maderas</t>
  </si>
  <si>
    <t>Aeronaves</t>
  </si>
  <si>
    <t xml:space="preserve">Buques (Barcos, Lanchas y Otros) </t>
  </si>
  <si>
    <t>Animales (Semovientes y Otros)</t>
  </si>
  <si>
    <t xml:space="preserve">Cultivos y frutos </t>
  </si>
  <si>
    <t>Alhajas y joyas</t>
  </si>
  <si>
    <t>Otros tipos de bienes</t>
  </si>
  <si>
    <t>Venta total</t>
  </si>
  <si>
    <t>Venta parcial</t>
  </si>
  <si>
    <t xml:space="preserve">Venta total financiada por la misma entidad </t>
  </si>
  <si>
    <t xml:space="preserve">Venta parcial financiada por la misma entidad </t>
  </si>
  <si>
    <t>Donación total</t>
  </si>
  <si>
    <t>Donación parcial</t>
  </si>
  <si>
    <t>Deterioro total</t>
  </si>
  <si>
    <t>Deterioro parcial</t>
  </si>
  <si>
    <t>Obsolescencia parcial</t>
  </si>
  <si>
    <t>Obsolescencia total</t>
  </si>
  <si>
    <t>Siniestro, robo o hurto, parcial.</t>
  </si>
  <si>
    <t>Siniestro, robo o hurto, total.</t>
  </si>
  <si>
    <t>No Aplica.</t>
  </si>
  <si>
    <t>Transporte.</t>
  </si>
  <si>
    <t xml:space="preserve">Energía.  </t>
  </si>
  <si>
    <t>Desarrollo Urbano y Ordenamiento Territorial.</t>
  </si>
  <si>
    <t xml:space="preserve">Infraestructura. </t>
  </si>
  <si>
    <t>Industria.</t>
  </si>
  <si>
    <t>Residuos.</t>
  </si>
  <si>
    <t>Agropecuario.</t>
  </si>
  <si>
    <t>Ambiente.</t>
  </si>
  <si>
    <t>Salud.</t>
  </si>
  <si>
    <t>Turismo.</t>
  </si>
  <si>
    <t>Gestión del riesgo y atención de desastres.</t>
  </si>
  <si>
    <t>Transversal.</t>
  </si>
  <si>
    <t>Transporte público y privado.</t>
  </si>
  <si>
    <t>Transporte de carga.</t>
  </si>
  <si>
    <t>Movilidad sostenible.</t>
  </si>
  <si>
    <t>Electrificación del transporte.</t>
  </si>
  <si>
    <t>Tecnologías cero emisiones.</t>
  </si>
  <si>
    <t>Mejoramiento de Combustibles.</t>
  </si>
  <si>
    <t>Energías renovables.</t>
  </si>
  <si>
    <t>Eficiencia energética.</t>
  </si>
  <si>
    <t>Políticas, leyes e investigación para la transición energética.</t>
  </si>
  <si>
    <t>Mejoramiento y sustitución de combustibles.</t>
  </si>
  <si>
    <t>Planeación, ordenamiento y desarrollo territorial con consideraciones de cambio climático.</t>
  </si>
  <si>
    <t>Construcción sostenible y saneamiento básico.</t>
  </si>
  <si>
    <t>Infraestructura resiliente.</t>
  </si>
  <si>
    <t>Procesos Industriales.</t>
  </si>
  <si>
    <t>Aprovechamiento, reúso y gestión de residuos.</t>
  </si>
  <si>
    <t>Agricultura.</t>
  </si>
  <si>
    <t>Ganadería.</t>
  </si>
  <si>
    <t>Biodiversidad y Ecosistemas.</t>
  </si>
  <si>
    <t>Manejo Forestal.</t>
  </si>
  <si>
    <t>Recursos hídricos.</t>
  </si>
  <si>
    <t>Saneamiento de aguas.</t>
  </si>
  <si>
    <t>Atención y control de enfermedades.</t>
  </si>
  <si>
    <t>Edificación eficiente en el sector salud.</t>
  </si>
  <si>
    <t>Vigilancia de la salud.</t>
  </si>
  <si>
    <t>Turismo resiliente.</t>
  </si>
  <si>
    <t>Prevención de riesgos asociados a cambio climático.</t>
  </si>
  <si>
    <t>Gestión del riesgo asociado a desastres.</t>
  </si>
  <si>
    <t>Protección y promoción de modos de vida.</t>
  </si>
  <si>
    <t>Planificación y gobernanza.</t>
  </si>
  <si>
    <t>Investigación, educación y fortalecimiento de capacidades para el desarrollo bajo en carbono y resiliente al clima.</t>
  </si>
  <si>
    <t>Financiamiento y herramientas de mercado.</t>
  </si>
  <si>
    <t>Marco de transparencia.</t>
  </si>
  <si>
    <t>Diseñar e implementar estrategias o acciones para constituir un Sistema Integrado de Transporte Público.</t>
  </si>
  <si>
    <t>Establecer carriles exclusivos para vehículos de transporte público modalidad autobús.</t>
  </si>
  <si>
    <t>Mejorar la calidad, eficiencia del transporte público.</t>
  </si>
  <si>
    <t>Diseñar e implementar sistemas de transporte público masivo.</t>
  </si>
  <si>
    <t>Diseñar e implementar estrategias que promuevan la intermodalidad en el transporte.</t>
  </si>
  <si>
    <t>Diseñar e implementar medidas de control de la demanda del transporte privado.</t>
  </si>
  <si>
    <t>Diseñar e implementar esquemas de incentivos para fomentar el uso del transporte público y la movilidad no motorizada.</t>
  </si>
  <si>
    <t>Renovar la flotilla de buses por vehículos más eficientes y promoción de la disminución en su número.</t>
  </si>
  <si>
    <t>Diseñar e implementar sistemas de monitoreo de transporte, como sistemas MRV.</t>
  </si>
  <si>
    <t>Promover programas de verificación vehicular ambiental (revisión vehicular y revisión de límites de emisiones).</t>
  </si>
  <si>
    <t>Promover programas de chatarrización y desintegración vehicular.</t>
  </si>
  <si>
    <t>Optimizar el uso de taxis (Distribución geográfica de los taxis, bahías de parqueo).</t>
  </si>
  <si>
    <t>Construir infraestructura vial baja en emisiones de GEI y resiliente a los impactos del cambio climático.</t>
  </si>
  <si>
    <t>Optimizar tecnologías convencionales y de conversión a motores alternativos en el sector de transporte.</t>
  </si>
  <si>
    <t>Diseño y optimización de sistemas y acciones de logística de carga urbana.</t>
  </si>
  <si>
    <t xml:space="preserve">Diseñar e implementar sistemas de movilización masiva de carga que vuelvan más eficiente su gestión, como por ejemplo trenes de carga. </t>
  </si>
  <si>
    <t>Implementar prácticas que mejoren la eficiencia energética en el transporte de carga.</t>
  </si>
  <si>
    <t xml:space="preserve">Realizar mejoras tecnológicas en transporte de carga, por ejemplo, vehículos de carga eléctricos. </t>
  </si>
  <si>
    <t>Diseñar e implementar planes de movilidad sostenible que consideren los efectos adversos del cambio climático.</t>
  </si>
  <si>
    <t>Diseñar y construir infraestructura para promover la movilidad no motorizada (movilización en bicicleta y caminando).</t>
  </si>
  <si>
    <t>Diseñar y establecer reglamentación, políticas y esquemas de incentivos que promuevan la movilidad no motorizada.</t>
  </si>
  <si>
    <t>Intervenciones de mejora urbana para impulsar capacidad de las ciudades.</t>
  </si>
  <si>
    <t>Diseñar e implementar infraestructura de transporte con consideraciones de adaptación al cambio climático.</t>
  </si>
  <si>
    <t>Diseñar e implementar estrategias para promover la movilidad eléctrica.</t>
  </si>
  <si>
    <t>Desarrollar infraestructura de recarga y otras que generen condiciones habilitadoras para la movilidad eléctrica.</t>
  </si>
  <si>
    <t>Diseño e implementación de pilotos de electrificación de flotas, especialmente asociadas con transporte público.</t>
  </si>
  <si>
    <t xml:space="preserve">Electrificación de flotas de vehículos privados y utilizados para el transporte público. </t>
  </si>
  <si>
    <t>Diseño e implementación de sistemas masivos de transporte público eléctricos, como por ejemplo tren eléctrico.</t>
  </si>
  <si>
    <t>Diseñar e implementar estrategias para fomentar el uso del hidrógeno u otras tecnologías cero emisiones en el sector transporte.</t>
  </si>
  <si>
    <t>Robustecer la normatividad y legislación sobre la calidad de combustibles, de manera que se reduzcan las emisiones generadas por su combustión.</t>
  </si>
  <si>
    <t>Evaluar el uso de combustibles alternativos para el sector transporte.</t>
  </si>
  <si>
    <t>Diseñar e implementar estrategias que promuevan el uso de combustibles producidos en condiciones sociales y ambientales integrales.</t>
  </si>
  <si>
    <t>Utilizar energías renovables no convencionales (solar, eólica, geotermia, biomasa, biogás y marina) para generación de energía eléctrica, calefacción, bombeo, u otros).</t>
  </si>
  <si>
    <t>Calentamiento solar de agua y otras aplicaciones térmicas de la energía solar en todos los sectores.</t>
  </si>
  <si>
    <t>Aplicaciones térmicas de bioenergía producida de forma sostenible en todos los sectores.</t>
  </si>
  <si>
    <t>Implementar sistemas de almacenamiento (batería, almacenamiento mecánico, bombeado) que faciliten la integración o producción de energías renovables.</t>
  </si>
  <si>
    <t xml:space="preserve">Construir, mantener y optimizar sistemas de transmisión y distribución para aprovechamiento de fuentes renovables de energía. </t>
  </si>
  <si>
    <t>Construir redes inteligentes o mini red (smart grid/mini grid).</t>
  </si>
  <si>
    <t>Instalar sistemas de generación distribuida con fuentes renovables.</t>
  </si>
  <si>
    <t>Utilizar tecnología que promueva la eficiencia energética en procesos industriales.</t>
  </si>
  <si>
    <t>Optimizar e incrementar la utilización de tecnologías eficientes en edificaciones (edificios) públicos, industriales, comerciales, residenciales existentes.</t>
  </si>
  <si>
    <t>Utilizar tecnología que promueva la eficiencia energética en nuevas edificaciones comerciales, públicas, industriales o residenciales.</t>
  </si>
  <si>
    <t>Mejorar la eficiencia energética en el alumbrado público, telegestión y otros servicios públicos.</t>
  </si>
  <si>
    <t>Diseñar Sistemas de Gestión de la Energía (SGEn), principalmente para usuarios de alto consumo de energía.</t>
  </si>
  <si>
    <t>Promover eficiencia energética o el uso de tecnologías de bajas emisiones en la generación, transmisión y distribución de energía eléctrica.</t>
  </si>
  <si>
    <t>Reducción de la pérdida de calor en los servicios públicos y/o aumento de la recuperación del calor residual.</t>
  </si>
  <si>
    <t>Retirar y modernizar de manera temprana las centrales eléctricas ineficientes o altamente contaminantes.</t>
  </si>
  <si>
    <t xml:space="preserve">Promover la eficiencia energética de los vehículos y retrofit. (por ejemplo: modernización de la flota vehicular, fortalecimiento de normas para importación de vehículos usados y nuevos). </t>
  </si>
  <si>
    <t>Desarrollar arreglos institucionales que permitan fomentar e implementar proyectos de energía renovable y de eficiencia energética.</t>
  </si>
  <si>
    <t>Apoyar y promover la investigación y desarrollo tecnológico y de capital humano en fuentes renovables o eficiencia energética.</t>
  </si>
  <si>
    <t>Expedir reglamentos técnicos y normatividad relacionados con energía renovable y eficiencia energética.</t>
  </si>
  <si>
    <t>Auditorías energéticas de usuarios finales de energía, incluidas industrias, edificios y sistemas de transporte.</t>
  </si>
  <si>
    <t>Fomentar incentivos económicos y fiscales para el aprovechamiento de energía renovable y eficiencia energética.</t>
  </si>
  <si>
    <t>Implementar normas para el mejoramiento en la calidad de los combustibles fósiles.</t>
  </si>
  <si>
    <t>Conversión de la central eléctrica existente basada en combustibles fósiles a combustibles y tecnologías limpias.</t>
  </si>
  <si>
    <t>Reducir el uso de combustibles fósiles para generación eléctrica.</t>
  </si>
  <si>
    <t>Diseñar e implementar planes de desarrollo urbano con enfoque de desarrollo rural bajo en emisiones de GEI y resilientes al clima.</t>
  </si>
  <si>
    <t>Facilitar la implementación de propuestas, planes y políticas de planeación urbana en la GAM.</t>
  </si>
  <si>
    <t>Integrar criterios de mitigación y adaptación de cambio climático en la planificación territorial, el ordenamiento territorial y la política sectorial y nacional.</t>
  </si>
  <si>
    <t>Implementar planes de ordenamiento territorial en todos los cantones costeros que contemplen cambio climático.</t>
  </si>
  <si>
    <t>Incluir criterios y lineamientos de adaptación al cambio climático en los instrumentos de planificación sectorial, regional y ordenamiento territorial, marino y costero a distintas escalas.</t>
  </si>
  <si>
    <t>Gestionar territorios rurales, urbanos y costeros para facilitar la protección de la biodiversidad, el incremento y mantenimiento de la cobertura forestal y servicios ecosistémicos a partir de soluciones basadas en la naturaleza.</t>
  </si>
  <si>
    <t>Formular e implementar planes de mitigación y/o adaptación en los territorios.</t>
  </si>
  <si>
    <t>Construir infraestructura y desarrollar nuevos sistemas productivos con consideración de criterios de cambio climático.</t>
  </si>
  <si>
    <t>Incorporar la gestión integral del riesgo en la planeación y programación del desarrollo y ordenamiento del territorio.</t>
  </si>
  <si>
    <t>Reducir cambios de uso de suelo que generen presión y pérdida sobre los ecosistemas.</t>
  </si>
  <si>
    <t>Diseño e implementación de estrategias asociadas al Desarrollo Orientado al Transporte (DOT).</t>
  </si>
  <si>
    <t>Ejecutar programas de densificación de ciudades.</t>
  </si>
  <si>
    <t>Planear zonas urbanas bajas en emisiones de GEI y resilientes al clima.</t>
  </si>
  <si>
    <t>Diseñar e implementar estrategias que fomenten las zonas verdades urbanas.</t>
  </si>
  <si>
    <t>Incorporar criterios, normas y estándares de construcción sostenible (iluminación, aire acondicionado y calentamiento) para nuevas construcciones y para renovación de infraestructura existente.</t>
  </si>
  <si>
    <t>Desarrollo de edificaciones comerciales, residenciales e institucionales bajo estándares de alta eficiencia, sistemas y tecnologías bajas en emisiones y resilientes.</t>
  </si>
  <si>
    <t>Usar mejores técnicas y materiales de diseño y construcción arquitectónico sustentable (ej. energía renovable o sistemas de captación de agua de lluvia).</t>
  </si>
  <si>
    <t>Implementar una estrategia nacional para la construcción y uso de infraestructura verde en los asentamientos humanos.</t>
  </si>
  <si>
    <t>Controlar la expansión urbana fuera de los polígonos de crecimiento.</t>
  </si>
  <si>
    <t>Fomentar el uso de tecnología ahorradora de consumo de agua y energía, así como para el pago de los servicios para la conservación de las viviendas.</t>
  </si>
  <si>
    <t>Construir de viviendas con enfoque de adaptación y resiliente (construcciones palafíticas, casas flotantes y aterradas).</t>
  </si>
  <si>
    <t>Mejorar los servicios básicos de las viviendas en zonas de rezago social y pobreza extrema.</t>
  </si>
  <si>
    <t>Establecer mecanismos reguladores para el sector inmobiliario que asegure estudios de riesgo y medidas de adaptación al cambio climático, considerando el bienestar social y los ecosistemas.</t>
  </si>
  <si>
    <t>Realizar un monitoreo de vulnerabilidad de infraestructura.</t>
  </si>
  <si>
    <t>Planificar y rediseñar infraestructura compatible con el clima.</t>
  </si>
  <si>
    <t>Asegurar la resiliencia en carreteras/caminos costeros.</t>
  </si>
  <si>
    <t>Asegurar la resiliencia de vivienda rural en zonas marino- costeras.</t>
  </si>
  <si>
    <t>Sentar lineamientos claros para diferenciar entre obras grises y obras verdes.</t>
  </si>
  <si>
    <t>Emitir reglamentos de construcción con visión de cambio climático.</t>
  </si>
  <si>
    <t>Realizar acciones de infraestructura social que beneficien a las localidades que presenten mayores niveles de rezago social y pobreza extrema.</t>
  </si>
  <si>
    <t>Desplegar infraestructura resiliente (verde, vasos de tormenta, pasos de fauna).</t>
  </si>
  <si>
    <t>Utilizar tecnologías de información y sistemas geoespaciales, así como entidades de información y estadística para la construcción de infraestructura.</t>
  </si>
  <si>
    <t xml:space="preserve">Desarrollar modelos de negocio de diseño integral "cuna a tumba" (o "cradle-to-grave") para productos, sus insumos, su embalaje, y sus usos. </t>
  </si>
  <si>
    <t xml:space="preserve">Adoptar tecnologías y procesos productivos que permitan reducir emisiones de GEI (Por ejemplo, en la producción de cemento, aluminio, cal, plásticos, químicos, fertilizantes). </t>
  </si>
  <si>
    <t xml:space="preserve">Reducir emisiones fugitivas de metano en instalaciones industriales de gas y/o petróleo. </t>
  </si>
  <si>
    <t>Mejorar la gestión integral de residuos sólidos (recolección, separación, reutilización, reciclaje y disposición final) e implementación de tecnologías para reducir emisiones de GEI.</t>
  </si>
  <si>
    <t>Implementar tecnologías de captura y uso de metano en rellenos sanitarios y/o plantas de tratamiento de aguas residuales.</t>
  </si>
  <si>
    <t>Aprovechar residuos orgánicos.</t>
  </si>
  <si>
    <t>Reducir residuos en actividades productivas (RAO: residuos agrícolas orgánicos) e industriales (modelos de economía circular).</t>
  </si>
  <si>
    <t>Optimizar la logística de transporte de residuos.</t>
  </si>
  <si>
    <t>Crear demanda y fortalecimiento de mercado de residuos valorizables.</t>
  </si>
  <si>
    <t>Recolectar y transportar residuos sólidos a través de vehículos eficientes y cero emisiones.</t>
  </si>
  <si>
    <t xml:space="preserve">Incorporar mejores prácticas productivas para reducir emisiones en subsectores prioritarios (café?, banano, ganadería, can?a de azúcar, piña, arroz) (Ej. Selección y rotación de cultivos, manejo adecuado de fertilizantes). </t>
  </si>
  <si>
    <t xml:space="preserve">Aplicar métodos y tecnologías más avanzadas para agricultura sostenible, resiliente y baja en emisiones </t>
  </si>
  <si>
    <t xml:space="preserve">Incorporar pronósticos climáticos en la toma de decisiones relacionado con sistemas agropecuarios. </t>
  </si>
  <si>
    <t xml:space="preserve">Sustituir fertilizantes nitrogenados por orgánicos, biológicos o de liberación lenta. </t>
  </si>
  <si>
    <t xml:space="preserve">Manejar de manera integral plagas y enfermedades en cultivos ante eventos climáticos extremos.  </t>
  </si>
  <si>
    <t xml:space="preserve">Usar los residuos de cosecha para la generación de energía. </t>
  </si>
  <si>
    <t xml:space="preserve">Reducir el consumo de combustibles fósiles para la generación de energía en la tracción (por ejemplo, la labranza eficiente), el riego y otros procesos agrícolas. </t>
  </si>
  <si>
    <t xml:space="preserve">Promover utilización de estructuras de drenaje y manejo de labranza. </t>
  </si>
  <si>
    <t xml:space="preserve">Mejorar y promover el sistema de seguros de cosechas. </t>
  </si>
  <si>
    <t xml:space="preserve">Incluir áreas de agricultura urbana. </t>
  </si>
  <si>
    <t xml:space="preserve">Gestión y aprovechamiento sustentable del agua en prácticas agrícolas. </t>
  </si>
  <si>
    <t xml:space="preserve">Recuperación y conservación de suelos degradados por actividades agropecuarias. </t>
  </si>
  <si>
    <t xml:space="preserve">Reducción de la degradación de los suelos agrarios. </t>
  </si>
  <si>
    <t>Usar sistemas de riego de precisión, y prácticas agrícolas con enfoques ecosistémicos para conservar el agua.</t>
  </si>
  <si>
    <t xml:space="preserve">Eficiencia en la utilización de recursos en procesos agrícolas y cadenas de suministro. </t>
  </si>
  <si>
    <t xml:space="preserve">Realizar una alineación de actividades agrícolas con tema de cuenca y actividades de uso eficiente de recurso hídrico. </t>
  </si>
  <si>
    <t xml:space="preserve">Implementar proyectos de ganadería que reducen metano u otros gases de efecto invernadero y adaptan la producción ganadera a los efectos del cambio climático, a través de promover técnicas y metodologías de fertilización que reduzcan emisiones de GEI, aumentar el secuestro de CO2 en las fincas, promover pastoreo racional, promover cercas vivas, y mejorar la planificación y gestión de la finca y de la salud de los animales. </t>
  </si>
  <si>
    <t xml:space="preserve">Aprovechar el estiércol y otros residuos sólidos a través de biodigestores para generación de electricidad, biogás domiciliario y biofertilizantes. </t>
  </si>
  <si>
    <t xml:space="preserve">Consolidar corredores biológicos. </t>
  </si>
  <si>
    <t xml:space="preserve">Incrementar áreas verdes para recreación en la GAM mediante mejora de la conectividad entre áreas protegidas y la consolidación de corredores biológicos y ribereños interurbanos. </t>
  </si>
  <si>
    <t xml:space="preserve">Implementar refugios bioclimáticos, restauración y reducción de pérdida y/o deterioro de ecosistemas. </t>
  </si>
  <si>
    <t xml:space="preserve">Consolidar y gestar infraestructura natural (bosque, humedales y otros ecosistemas), manejo de paisajes sostenibles inclusivos). </t>
  </si>
  <si>
    <t xml:space="preserve">Implementar programas de conservación para evitar la pérdida de especies por cambios en la temperatura. </t>
  </si>
  <si>
    <t xml:space="preserve">Implementar proyectos de conservación de ecosistemas con la finalidad de reducir las emisiones de GEI causadas por la degradación de estos. </t>
  </si>
  <si>
    <t xml:space="preserve">Implementar mecanismos relacionados a pagos por servicios ambientales. </t>
  </si>
  <si>
    <t xml:space="preserve">Fortalecer la generación y la valoración de bienes y servicios provenientes de los ecosistemas. </t>
  </si>
  <si>
    <t xml:space="preserve">Implementar un Programa regional de monitoreo de biodiversidad con la finalidad de identificar y controlar los impactos del cambio climático. </t>
  </si>
  <si>
    <t xml:space="preserve">Promover la inclusión de criterios y prioridades de conservación en la formulación de políticas, planes, programas, obras y proyectos relacionados con infraestructura. </t>
  </si>
  <si>
    <t xml:space="preserve">Desarrollar instrumentos de gestión y diseño de estrategias que busquen sinergias entre la mitigación y la adaptación. </t>
  </si>
  <si>
    <t xml:space="preserve">Impulsar prácticas de silvicultura sustentable. </t>
  </si>
  <si>
    <t xml:space="preserve">Sustituir especies exóticas en parque urbanos y promover polinizadores naturales. </t>
  </si>
  <si>
    <t>Reducir al mínimo el uso de agroquímicos y pesticidas, y de ser posible sustituirlos por biopesticidas.</t>
  </si>
  <si>
    <t xml:space="preserve">Implementar prácticas de adaptación basada en ecosistemas. </t>
  </si>
  <si>
    <t xml:space="preserve">Implementar medidas de control y vigilancia forestal (manejo de fuego y control de incendios). </t>
  </si>
  <si>
    <t xml:space="preserve">Realizar una gestión sostenible de bosques (Reducción, restauración y prevención de la deforestación o degradación de ecosistemas forestales). </t>
  </si>
  <si>
    <t xml:space="preserve">Implementar la Estrategia Nacional REDD+. </t>
  </si>
  <si>
    <t xml:space="preserve">Crear sinergias entre prácticas de adaptación y de reducción de emisiones por deforestación evitada. </t>
  </si>
  <si>
    <t xml:space="preserve">Integrar a las comunidades indígenas en proyectos forestales (REDD, Plan de Desarrollo Forestal en los Territorios Indígenas). </t>
  </si>
  <si>
    <t xml:space="preserve">Regular el sector forestal (Tenencia de la tierra y derechos de carbono). </t>
  </si>
  <si>
    <t xml:space="preserve">Implementar un Sistema de Información sobre Salvaguardas (SIS). </t>
  </si>
  <si>
    <t xml:space="preserve">Implementar y dar seguimiento del Marco de Gestión Ambiental y Social (MGAS). </t>
  </si>
  <si>
    <t xml:space="preserve">Repoblación forestal (plantaciones) y agrosilvicultura en tierras no forestales. </t>
  </si>
  <si>
    <t xml:space="preserve">Implementar un sistema de certificación de productos libres de deforestación. </t>
  </si>
  <si>
    <t>Mejorar y fortalecer acueductos comunitarios.</t>
  </si>
  <si>
    <t>Proteger fuentes, nacientes y aguas subterráneas.</t>
  </si>
  <si>
    <t>Planificar adecuadamente el uso del recurso hídrico.</t>
  </si>
  <si>
    <t xml:space="preserve">Aumentar la inversión y mejorar la infraestructura natural e hídrica, aplicando tecnologías de eficiencia hídrica. </t>
  </si>
  <si>
    <t>Monitorear impactos e incentivar investigación para reducir vulnerabilidad e identificar acciones de adaptación en sector hídrico.</t>
  </si>
  <si>
    <t>Promover alianzas público - privadas para calidad y cantidad de agua.</t>
  </si>
  <si>
    <t>Asegurar que las proyecciones y valoraciones de cantidad y calidad de agua contemplan impactos esperados de cambio climático.</t>
  </si>
  <si>
    <t>Realizar inversiones en tecnologías de calidad y cantidad de agua.</t>
  </si>
  <si>
    <t>Implementar técnicas de cosecha de agua.</t>
  </si>
  <si>
    <t xml:space="preserve">Realizar un manejo adecuado de emisiones de CH4 en embalses y plantas de tratamiento. </t>
  </si>
  <si>
    <t xml:space="preserve">Instalación de equipos domésticos de recolección de agua de lluvia y almacenamiento. </t>
  </si>
  <si>
    <t>Realizar un manejo integral de cuencas (tanto en zonas altas, como medias y bajas).</t>
  </si>
  <si>
    <t>Aumentar cobertura, mantenimiento y sostenibilidad de los sistemas de alcantarillado sanitario y pluvial.</t>
  </si>
  <si>
    <t>Disminuir la vulnerabilidad ante eventos extremos y enfermedades infecciosas.</t>
  </si>
  <si>
    <t>Brindar educación y sensibilización de la población sobre enfermedades relacionadas a los efectos del cambio climático.</t>
  </si>
  <si>
    <t>Fomentar prácticas preventivas para enfermedades cuya propagación esté relacionada al cambio climático.</t>
  </si>
  <si>
    <t>Trasladar competencias a centros de atención primaria de salud para las enfermedades asociadas a cambio climático.</t>
  </si>
  <si>
    <t>Adecuar los servicios de salud a las necesidades demográficas, epidemiológicas y culturales de los grupos en situación de vulnerabilidad.</t>
  </si>
  <si>
    <t>Construir capacidad instalada eficiente para brindar servicios de salud para atender enfermedades con mayor incidencia en escenarios de cambio climático.</t>
  </si>
  <si>
    <t>Fortalecer la vigilancia de enfermedades sensibles al clima.</t>
  </si>
  <si>
    <t>Integrar factores de riesgo en las prácticas empresariales y procesos de planificación turística.</t>
  </si>
  <si>
    <t>Adecuar el sector y destinos turísticos ante los efectos del cambio climático y nuevas condiciones, gestión de riesgos.</t>
  </si>
  <si>
    <t xml:space="preserve">Proteger el bienestar de visitantes e imagen de los destinos turísticos. </t>
  </si>
  <si>
    <t>Consolidar sistema de alerta temprana (Identificación, seguimiento y monitoreo de amenazas hidrometeorológicas para alertas tempranas).</t>
  </si>
  <si>
    <t>Diseñar e implementar planes de gestión de riesgo de desastres asociados a cambio climático (Incorporar la variable de riesgo a desastres en el desarrollo social.).</t>
  </si>
  <si>
    <t>Crear infraestructura resiliente (protección de la infraestructura pública, mediante la adecuada valoración del riesgo y la adopción de mecanismos de protección asegurando la robustez de obras de infraestructura y otras líneas vitales.).</t>
  </si>
  <si>
    <t>Desarrollar investigación científica, recolección sistemática de datos y análisis actual y prospectivo de información sobre impactos, pérdidas y daños por amenazas hidrometeorológicas.</t>
  </si>
  <si>
    <t>Asegurar la resiliencia a nivel comunal, considerando escenarios de cambio climático.</t>
  </si>
  <si>
    <t>Establecer normas y lineamiento técnicos para la resiliencia de los sectores productivos que habiliten una producción sostenible y climáticamente inteligente y garanticen la seguridad alimentaria y nutricional y la sostenibilidad de los recursos en un contexto de cambio climático.</t>
  </si>
  <si>
    <t>Conocimiento y difusión de información sobre riesgos climáticos.</t>
  </si>
  <si>
    <t>Construir infraestructuras resistentes como, por ejemplo, un sistema de protección para represas.</t>
  </si>
  <si>
    <t>Promover la incidencia de los actores sociales y económicos en la gestión del riesgo, con particular énfasis en las comunidades vulnerables y en la actividad privada.</t>
  </si>
  <si>
    <t>Incorporar criterios de adaptación y reducción de la vulnerabilidad actual en los procesos de reconstrucción y recuperación post-desastre.</t>
  </si>
  <si>
    <t>Implementar el Programa nacional de monitoreo de las vulnerabilidades que tienen los sistemas de infraestructura ante los fenómenos de inundaciones, sequías, deslizamientos e incremento del nivel del mar que podrían agravarse con el cambio climático.</t>
  </si>
  <si>
    <t>Generar conocimiento sobre gestión del riesgo y estudios de vulnerabilidad y adaptabilidad al cambio climático.</t>
  </si>
  <si>
    <t xml:space="preserve">Implementar mecanismos de apoyo y de financiamiento de transferencia y de riesgo asociado a eventos hidro climáticos de infraestructura pública (seguros, bonos, instrumentos económicos). </t>
  </si>
  <si>
    <t>Establecer programas de apoyo permanente a través de créditos y garantías para zonas vulnerables, áreas productivas e infraestructura afectadas por desastres naturales.</t>
  </si>
  <si>
    <t xml:space="preserve">Diseñar e implementar planes de recuperación y reconstrucción post desastre con consideraciones de cambio climático. </t>
  </si>
  <si>
    <t>Desarrollar e incrementar personas con formación y conocimiento sobre gestión del riesgo de desastres.</t>
  </si>
  <si>
    <t>Rescatar y aplicar prácticas ancestrales.</t>
  </si>
  <si>
    <t xml:space="preserve">Readecuar, reubicar y diversificar prácticas productivas más vulnerables. </t>
  </si>
  <si>
    <t>Implementar prácticas de pesca sostenible.</t>
  </si>
  <si>
    <t>Realizar un monitoreo de variables oceanográficas y pesqueras.</t>
  </si>
  <si>
    <t>Revisar los períodos de veda y mayor control a los barcos pesqueros.</t>
  </si>
  <si>
    <t>Crear reservas marinas.</t>
  </si>
  <si>
    <t>Reconvertir actividades productivas sostenibles.</t>
  </si>
  <si>
    <t>Implementar la NAMA carbono azul.</t>
  </si>
  <si>
    <t>Contar con arreglos legales e institucionales para la mitigación y adaptación.</t>
  </si>
  <si>
    <t>Contar con mecanismos de participación ciudadana y mejorar la coordinación interinstitucional para discutir planes, normas y/o estrategias relacionadas a cambio climático.</t>
  </si>
  <si>
    <t>Diseñar e implementar Programas de Gestión Ambiental Institucional (PGAI).</t>
  </si>
  <si>
    <t>Integrar y promover la conectividad "vertical" entre zonas costeras y cuenca arriba.</t>
  </si>
  <si>
    <t>Realizar una zonificación marina.</t>
  </si>
  <si>
    <t>Fortalecer las capacidades del sector público y privado para comprender la importancia del combatir el cambio climático e implementar acciones de mitigación y/o adaptación.</t>
  </si>
  <si>
    <t>Desarrollar investigación relacionada con la adaptación al cambio climático, incluyendo la observación, pronóstico y modelos meteorológico e hidrológico; evaluaciones sobre vulnerabilidad e impacto, indicadores a nivel salud, entre otros.</t>
  </si>
  <si>
    <t>Implementar estrategias de sensibilización, comunicación y difusión sobre la temática del cambio climático.</t>
  </si>
  <si>
    <t>Evaluar los impactos del cambio climático, la vulnerabilidad y la adaptación en sectores y regiones específicas.</t>
  </si>
  <si>
    <t>Incluir información sobre el cambio climático en los planes de estudio en todos los niveles de educación formal, informal y no formal.</t>
  </si>
  <si>
    <t>Promover la formación de profesionales con conocimientos en el tema de cambio climático.</t>
  </si>
  <si>
    <t>Desarrollar investigaciones en temas de cambio climático de relevancia para el país (evaluaciones de vulnerabilidad, establecimiento de líneas base, cuantificación y análisis de costes, etc.).</t>
  </si>
  <si>
    <t>Diseñar e implementar mecanismos de financiamiento e instrumentos que permitan el desarrollo bajo en carbono y resiliente al clima (Innovación, inversión, eco-competitividad y resiliencia de la economía ante el cambio climático -esquemas de certificación ambiental y de incentivos a la producción adaptada al cambio climático).</t>
  </si>
  <si>
    <t>Implementar incentivos económicos para la mitigación de GEI en diversos sectores.</t>
  </si>
  <si>
    <t>Mejorar la competitividad de los mecanismos de financiamiento para el desarrollo bajo en carbono y resiliente al clima en relación con otras actividades.</t>
  </si>
  <si>
    <t>Crear condiciones para dar mayor y mejor acceso al mercado para productos agropecuarios de productores que aplican tecnologías bajas en emisiones.</t>
  </si>
  <si>
    <t>Implementar sistemas de monitoreo, reporte y verificación de emisiones de GEI.</t>
  </si>
  <si>
    <t>Mitigación.</t>
  </si>
  <si>
    <t>Adaptación.</t>
  </si>
  <si>
    <t>Ambos.</t>
  </si>
  <si>
    <t>No Aplica (Recursos Propios).</t>
  </si>
  <si>
    <t>Fideicomiso Nacional para el Desarrollo (FINADE).</t>
  </si>
  <si>
    <t>Fondo de Financiamiento para el Desarrollo (FOFIDE).</t>
  </si>
  <si>
    <t>Fondo de Garantías del Fondo especial para el desarrollo de las micros, pequeñas y medianas empresas (FODEMIPYME).</t>
  </si>
  <si>
    <t>Fondo Nacional de Financiamiento Forestal (FONAFIFO).</t>
  </si>
  <si>
    <t>Recursos de bancos públicos nacionales.</t>
  </si>
  <si>
    <t>Fondo de Crédito para el Desarrollo (FCD).</t>
  </si>
  <si>
    <t>Recursos de entidades financieras privadas nacionales.</t>
  </si>
  <si>
    <t>Fondos Banco Mundial (BM).</t>
  </si>
  <si>
    <t>Fondos de Inversión Climático (CIF) - administrados por BM.</t>
  </si>
  <si>
    <t>Corporación Financiera Internacional (IFC).</t>
  </si>
  <si>
    <t>Fondos Banco Interamericano de Desarrollo (BID).</t>
  </si>
  <si>
    <t>Fondo de Múltiples Donantes para la Biodiversidad y servicios ecosistémicos Sostenible y el Cambio Climático.</t>
  </si>
  <si>
    <t>BID Invest.</t>
  </si>
  <si>
    <t>BID Lab (ex FOMIN).</t>
  </si>
  <si>
    <t>Banco de Desarrollo de América Latina (CAF).</t>
  </si>
  <si>
    <t>Banco Centroamericano de Integración Económica (BCIE).</t>
  </si>
  <si>
    <t>Fondo Verde del Clima (FVC).</t>
  </si>
  <si>
    <t>Fondo de Adaptación (FA).</t>
  </si>
  <si>
    <t>Fondo Mundial para el Medio Ambiente (GEF).</t>
  </si>
  <si>
    <t>NAMA Facility.</t>
  </si>
  <si>
    <t>Programa de Naciones Unidas para el Desarrollo (PNUD).</t>
  </si>
  <si>
    <t>Programa de Naciones Unidas para el Medio Ambiente (PNUMA).</t>
  </si>
  <si>
    <t>Organización de las Naciones Unidas para la Alimentación y la Agricultura (FAO).</t>
  </si>
  <si>
    <t>Programa REDD Naciones Unidas.</t>
  </si>
  <si>
    <t>Carbon Forest Partnership.</t>
  </si>
  <si>
    <t>NDC Partnership.</t>
  </si>
  <si>
    <t>Comisión Centroamericana de Ambiente y Desarrollo (CCAD).</t>
  </si>
  <si>
    <t>Fondo Regional para Tecnología en la Agricultura (FONTAGRO).</t>
  </si>
  <si>
    <t>Unión Europea - Facilidad de Inversión para América Latina (LAIF).</t>
  </si>
  <si>
    <t>Unión Europea - Euroclima.</t>
  </si>
  <si>
    <t>Alemania - Agencia Alemana para la Cooperación Técnica Internacional (GIZ).</t>
  </si>
  <si>
    <t>Alemania - Banco federal de Reconstrucción y Fomento (KfW).</t>
  </si>
  <si>
    <t>Alemania - Iniciativa Climática Internacional (IKI).</t>
  </si>
  <si>
    <t>Alemania - Ministerio Federal de Medio Ambiente, Conservación de la Naturaleza, Construcción y Seguridad Nuclear Alemán (BMUB).</t>
  </si>
  <si>
    <t>Alemania - Ministerio Federal de Cooperación Económica y Desarrollo (BMZ).</t>
  </si>
  <si>
    <t>Canadá - Agencia Canadiense para la Cooperación Internacional.</t>
  </si>
  <si>
    <t>Estados Unidos - Agencia de Cooperación de Estados Unidos para el Desarrollo (USAID).</t>
  </si>
  <si>
    <t>España - Agencia Española de Cooperación Internacional para el Desarrollo (AECID).</t>
  </si>
  <si>
    <t>España - TRIODOS Bank.</t>
  </si>
  <si>
    <t>Suiza - Agencia Suiza de Cooperación al Desarrollo (SDC).</t>
  </si>
  <si>
    <t>Reino Unido - Ayuda Reino Unido (UK Aid).</t>
  </si>
  <si>
    <t>Reino Unido - Departamento para el Desarrollo Internacional de Reino Unido (DFID).</t>
  </si>
  <si>
    <t>Japón - Agencia de Cooperación de Japón (JICA).</t>
  </si>
  <si>
    <t>Noruega - Agencia Noruega de Cooperación al Desarrollo (NORAD).</t>
  </si>
  <si>
    <t>Holanda - Ministerio de Relaciones Exteriores holandés (DGIS).</t>
  </si>
  <si>
    <t>Holanda - Compañía Holandesa de Desarrollo Financiero (FMO).</t>
  </si>
  <si>
    <t>Francia - PROPARCO.</t>
  </si>
  <si>
    <t>México - Agencia Mexicana de Cooperación Internacional para el Desarrollo (AMEXCID).</t>
  </si>
  <si>
    <t xml:space="preserve"> Nacional Público:</t>
  </si>
  <si>
    <t>1.1</t>
  </si>
  <si>
    <t>Fondos Nacionales.</t>
  </si>
  <si>
    <t>1.2</t>
  </si>
  <si>
    <t xml:space="preserve"> Nacional Privado:</t>
  </si>
  <si>
    <t>2.1</t>
  </si>
  <si>
    <t>Recursos de la banca privada, canalizados al SBD.</t>
  </si>
  <si>
    <t>2.2</t>
  </si>
  <si>
    <t>Multilateral Internacional:</t>
  </si>
  <si>
    <t>3.1</t>
  </si>
  <si>
    <t>Bancos Multilaterales de Desarrollo (MDBs).</t>
  </si>
  <si>
    <t>3.2</t>
  </si>
  <si>
    <t>Fondos dentro de la Convención Marco de Naciones Unidas sobre Cambio Climático (CMNUCC).</t>
  </si>
  <si>
    <t>3.3</t>
  </si>
  <si>
    <t>Entidades fuera de la Convención Marco de Naciones Unidas sobre Cambio Climático (CMNUCC).</t>
  </si>
  <si>
    <t>3.4</t>
  </si>
  <si>
    <t>Fondos regionales.</t>
  </si>
  <si>
    <t>Bilateral Internacional:</t>
  </si>
  <si>
    <t>4.1</t>
  </si>
  <si>
    <t>Norte-Sur (de países desarrollados a países en desarrollo).</t>
  </si>
  <si>
    <t>4.2</t>
  </si>
  <si>
    <t>Sur-Sur (cooperación entre países en desarrollo).</t>
  </si>
  <si>
    <t>Reembolsable.</t>
  </si>
  <si>
    <t>No Reembolsable.</t>
  </si>
  <si>
    <t>Asistencia Técnica.</t>
  </si>
  <si>
    <t>Hipotecas sobre Terrenos</t>
  </si>
  <si>
    <t>Hipotecas sobre Edificaciones</t>
  </si>
  <si>
    <t>Hipotecas sobre residencias habitadas por el deudor (ponderación del 50%)</t>
  </si>
  <si>
    <t>Cédulas hipotecarias sobre terrenos</t>
  </si>
  <si>
    <t>Cédulas hipotecarias sobre edificaciones</t>
  </si>
  <si>
    <t>Cédulas hipotecarias sobre residencias habitadas por el deudor (ponderación del 50%)</t>
  </si>
  <si>
    <t>Prenda sobre bienes muebles e hipotecas sobre maquinaria fijada permanentemente al terreno (excepto instrumentos financieros)</t>
  </si>
  <si>
    <t>Pignoración sobre bienes muebles, excepto instrumentos financieros.</t>
  </si>
  <si>
    <t>Bonos de prenda emitidos por Almacenes Generales de Depósito</t>
  </si>
  <si>
    <t>Depósitos o instrumentos financieros que respaldan operaciones back to back</t>
  </si>
  <si>
    <t>Instrumentos de deuda inscritos en una bolsa de valores autorizada o emitido por el BCCR o el Gobierno de Costa Rica</t>
  </si>
  <si>
    <t>Instrumentos de deuda de instituciones supervisadas por la SUGEF sin calificación pública.</t>
  </si>
  <si>
    <t>Instrumento de capital inscrito en una bolsa de valores autorizada</t>
  </si>
  <si>
    <t>Participaciones en fondos de inversión abiertos inscritos en la plaza correspondiente</t>
  </si>
  <si>
    <t>Participaciones en fondos de inversión cerrados inscritos en una bolsa de valores autorizada</t>
  </si>
  <si>
    <t>Operaciones Crediticias recibidas en garantía</t>
  </si>
  <si>
    <t>Fianzas emitidas por personas físicas.</t>
  </si>
  <si>
    <t>Fianzas y avales de entidades del Sector Público</t>
  </si>
  <si>
    <t>Fianzas y avales de entidades del Sector Privado</t>
  </si>
  <si>
    <t>Documentos que amparan una carta de crédito de importación confirmada e irrevocable.</t>
  </si>
  <si>
    <t xml:space="preserve">Carta Crédito Stand-By </t>
  </si>
  <si>
    <t>Facturas cedidas cuyo obligado está calificado en Categoría de riesgo A1 que establece el Reglamento de Crédito</t>
  </si>
  <si>
    <t>Facturas cedidas cuyo obligado está calificado en comportamiento de pago histórico como Nivel 1.</t>
  </si>
  <si>
    <t>Fideicomiso de garantías</t>
  </si>
  <si>
    <t>Bien fideicometido que corresponde a residencia habitada por el deudor (ponderación del 50%)</t>
  </si>
  <si>
    <t>Bien fideicometido</t>
  </si>
  <si>
    <t xml:space="preserve">Carta de crédito de exportación </t>
  </si>
  <si>
    <t>Facturas cedidas cuyo obligado está calificado en Categoría de riesgo A2 que establece el Reglamento de Crédito</t>
  </si>
  <si>
    <t>Avales Otorgados por FINADE y por FODEMIPYME</t>
  </si>
  <si>
    <t>Avales Otorgados por el Fondo de Garantías del Fondo especial para el desarrollo de las micros, pequeñas y medianas empresas (FODEMIPYME), Ley 8262.</t>
  </si>
  <si>
    <t>Avales Otorgados por el Fondo de Avales y Garantías del Fondo Nacional de Desarrollo (FONADE). Ley 9274.</t>
  </si>
  <si>
    <t>Bienes y derechos incluidos en la “Ley de Garantías Mobiliarias”, Ley 9246: Créditos cedidos, correspondientes a deudores del SBD calificados en Categoría de riesgo 1.</t>
  </si>
  <si>
    <t>Bienes y derechos incluidos en la “Ley de Garantías Mobiliarias”, Ley 9246:  Cuentas por cobrar cedidas, tales como facturas.</t>
  </si>
  <si>
    <t>Bienes y derechos incluidos en la “Ley de Garantías Mobiliarias”, Ley 9246:  Créditos documentarios</t>
  </si>
  <si>
    <t>Bienes y derechos incluidos en la “Ley de Garantías Mobiliarias”, Ley 9246:  Títulos representativos de mercaderías</t>
  </si>
  <si>
    <t>Bienes y derechos incluidos en la “Ley de Garantías Mobiliarias”, Ley 9246:Bienes muebles desafectados</t>
  </si>
  <si>
    <t>Bienes y derechos incluidos en la “Ley de Garantías Mobiliarias”, Ley 9246:  Otros bienes y derechos, independientemente de su naturaleza y condición de desplazamiento.</t>
  </si>
  <si>
    <t xml:space="preserve">Avales Otorgados por  Fideicomiso de Garantías del IMAS (FIDEIMAS). </t>
  </si>
  <si>
    <t>Factura con su respectiva cesión con recurso a favor de la entidad. Las facturas del Sector Público con vencimiento no mayor a los 6 meses con su respectiva cesión con recurso a favor de la entidad. </t>
  </si>
  <si>
    <t>Factura emitida por una persona jurídica del sector privado con respectiva cesión con recurso a favor de la entidad. </t>
  </si>
  <si>
    <t>Instrumentos de capital no inscritos en una bolsa de valores.</t>
  </si>
  <si>
    <t>hipoteca 1 grado</t>
  </si>
  <si>
    <t>hipoteca 2 grado</t>
  </si>
  <si>
    <t>hipoteca 3 grado</t>
  </si>
  <si>
    <t>hipoteca con un grado mayor al tercero</t>
  </si>
  <si>
    <t>cedulas hipotecarias 1 grado</t>
  </si>
  <si>
    <t>cedulas hipotecarias 2 grado</t>
  </si>
  <si>
    <t>cedulas hipotecarias 3 grado</t>
  </si>
  <si>
    <t>cedulas hipotecarias con un grado mayor al tercero</t>
  </si>
  <si>
    <t>contrato o certificado de prenda 1 grado</t>
  </si>
  <si>
    <t>contrato o certificado de prenda 2 grado</t>
  </si>
  <si>
    <t>contrato o certificado de prenda 3 grado</t>
  </si>
  <si>
    <t xml:space="preserve">contrato o certificado de prenda con un grado mayor al tercero </t>
  </si>
  <si>
    <t>cedula prendaria 1 grado (emitidas exclusivamente por las centrales de valores)</t>
  </si>
  <si>
    <t>cedula prendaria 2 grado (emitidas exclusivamente por las centrales de valores)</t>
  </si>
  <si>
    <t>cedula prendaria 3 grado (emitidas exclusivamente por las centrales de valores)</t>
  </si>
  <si>
    <t>cedula prendaria con un grado mayor al tercero (emitidas exclusivamente por las centrales de valores)</t>
  </si>
  <si>
    <t xml:space="preserve">bono/vale de prenda 1 grado (emitidos por almacenes generales de depósito) </t>
  </si>
  <si>
    <t>bono/vale de prenda 2 grado (emitidos por almacenes generales de depósito)</t>
  </si>
  <si>
    <t>bono/vale de prenda 3 grado (emitidos por almacenes generales de depósito)</t>
  </si>
  <si>
    <t>bono/vale de prenda con un grado mayor al tercero (emitidos por almacenes generales de depósito)</t>
  </si>
  <si>
    <t>endoso de títulos valores (incluye certificados de inversión y  depósitos a plazo)</t>
  </si>
  <si>
    <t>endoso de títulos valores (incluye conocimientos de embarque, cartas de porte y otros) </t>
  </si>
  <si>
    <t>Fideicomiso de Garantía – Fideicomisario Primario</t>
  </si>
  <si>
    <t>Fideicomiso de Garantía – Fideicomisario Secundario</t>
  </si>
  <si>
    <t>Fideicomiso de Garantía – Fideicomisario Tercero</t>
  </si>
  <si>
    <t xml:space="preserve">Fideicomiso de Garantía – Fideicomisario con un grado de prioridad  menor al tercero </t>
  </si>
  <si>
    <t>Operaciones crediticias recibidas en garantía</t>
  </si>
  <si>
    <t>Contratos de Pignoración S/Bienes Muebles</t>
  </si>
  <si>
    <t>Fianzas y avales</t>
  </si>
  <si>
    <t xml:space="preserve">Cartas de crédito </t>
  </si>
  <si>
    <t>Facturas cedidas</t>
  </si>
  <si>
    <t>Contrato de Garantía Mobiliaria</t>
  </si>
  <si>
    <t>1 GRADO</t>
  </si>
  <si>
    <t>2 GRADO</t>
  </si>
  <si>
    <t>3 GRADO</t>
  </si>
  <si>
    <t>GRADO MAYOR AL TERCERO</t>
  </si>
  <si>
    <t>OFICINA CENTRAL</t>
  </si>
  <si>
    <t>DIRECCIONES REGIONALES</t>
  </si>
  <si>
    <t>SUCURSAL</t>
  </si>
  <si>
    <t>AGENCIA</t>
  </si>
  <si>
    <t>CAJA AUXILIAR</t>
  </si>
  <si>
    <t>EXTENCION DE CAJA</t>
  </si>
  <si>
    <t>OFICINA</t>
  </si>
  <si>
    <t>ALMACEN GENERAL DEPOSITO FISCAL</t>
  </si>
  <si>
    <t>OFICINA EXTRANJERA (Sucursal, agencia, u oficina de representación)</t>
  </si>
  <si>
    <t xml:space="preserve">AGENTE DE SERVICIO (Corresponsal Financiero)  </t>
  </si>
  <si>
    <t>Principal</t>
  </si>
  <si>
    <t>Productos por cobrar</t>
  </si>
  <si>
    <t>Cuando el deudor solo presente operaciones que le aplica la normativas SUGEF 1-05, se debe indicar el código “0”.</t>
  </si>
  <si>
    <t>Lineamientos Generales” del Acuerdo SUGEF 15-16 “Reglamento sobre gestión y evaluación del riesgo de crédito para el Sistema de Banca para el Desarrollo, en su capítulo:
VII. Definición de Deudores Generadores y No Generadores de Moneda Extranjera</t>
  </si>
  <si>
    <t>Deudor con  todas sus operaciones en moneda nacional</t>
  </si>
  <si>
    <t xml:space="preserve">Los deudores que no tienen una operación crediticia denominada en moneda extranjera en la entidad no deben clasificarse. Para efectos de este capítulo VI la Unidad de Desarrollo no se considera moneda extranjera. </t>
  </si>
  <si>
    <t>Deudor excepción por operaciones contingentes</t>
  </si>
  <si>
    <t xml:space="preserve">Para efectos de la clasificación de los deudores según su exposición al riesgo cambiario debe observarse lo siguiente: 
1. Se excluyen del análisis la garantía, el aval y la carta de crédito. 
Deudores a los que les aplica la excepción inciso B.1 del apartado VII de los Lineamientos Generales del Acuerdo SUGEF 15-16.
Por lo tanto, este Código corresponde a los deudores cuya totalidad de operaciones son “TipoOperación”  7. (la garantía de participación, el aval y la carta de crédito) </t>
  </si>
  <si>
    <t>Modificada 2 veces en los últimos 24 meses.</t>
  </si>
  <si>
    <t>En los últimos 24 meses, en dos oportunidades, al menos una de las operaciones del deudor a sido objeto de intervención por parte de la entidad financiera.</t>
  </si>
  <si>
    <t>Modificad 3 o más veces en los últimos 24 meses.</t>
  </si>
  <si>
    <t>En los últimos 24 meses, en tres o más  oportunidades, al menos una de las operaciones del deudor a sido objeto de intervención por parte de la entidad financiera.</t>
  </si>
  <si>
    <t>Salida de deudor de clasificación por Operación Especial. Conforme a lo establecido en el Artículo 24.</t>
  </si>
  <si>
    <t>SAN JOSE</t>
  </si>
  <si>
    <t>ALAJUELA</t>
  </si>
  <si>
    <t>CARTAGO</t>
  </si>
  <si>
    <t>HEREDIA</t>
  </si>
  <si>
    <t>GUANACASTE</t>
  </si>
  <si>
    <t>PUNTARENAS</t>
  </si>
  <si>
    <t>LIMON</t>
  </si>
  <si>
    <t>CENTRAL</t>
  </si>
  <si>
    <t>ESCAZU</t>
  </si>
  <si>
    <t>1.3</t>
  </si>
  <si>
    <t>DESAMPARADOS</t>
  </si>
  <si>
    <t>1.4</t>
  </si>
  <si>
    <t>PURISCAL</t>
  </si>
  <si>
    <t>1.5</t>
  </si>
  <si>
    <t>TARRAZU</t>
  </si>
  <si>
    <t>1.6</t>
  </si>
  <si>
    <t>ASERRI</t>
  </si>
  <si>
    <t>1.7</t>
  </si>
  <si>
    <t>MORA</t>
  </si>
  <si>
    <t>1.8</t>
  </si>
  <si>
    <t>GOICOECHEA</t>
  </si>
  <si>
    <t>1.9</t>
  </si>
  <si>
    <t>SANTA ANA</t>
  </si>
  <si>
    <t>1.10</t>
  </si>
  <si>
    <t>ALAJUELITA</t>
  </si>
  <si>
    <t>1.11</t>
  </si>
  <si>
    <t>CORONADO</t>
  </si>
  <si>
    <t>1.12</t>
  </si>
  <si>
    <t>ACOSTA</t>
  </si>
  <si>
    <t>1.13</t>
  </si>
  <si>
    <t>TIBAS</t>
  </si>
  <si>
    <t>1.14</t>
  </si>
  <si>
    <t>MORAVIA</t>
  </si>
  <si>
    <t>1.15</t>
  </si>
  <si>
    <t>MONTES DE OCA</t>
  </si>
  <si>
    <t>1.16</t>
  </si>
  <si>
    <t>TURRUBARES</t>
  </si>
  <si>
    <t>1.17</t>
  </si>
  <si>
    <t>DOTA</t>
  </si>
  <si>
    <t>1.18</t>
  </si>
  <si>
    <t>CURRIDABAT</t>
  </si>
  <si>
    <t>1.19</t>
  </si>
  <si>
    <t>PEREZ ZELEDON</t>
  </si>
  <si>
    <t>1.20</t>
  </si>
  <si>
    <t>LEON CORTES</t>
  </si>
  <si>
    <t>SAN RAMON</t>
  </si>
  <si>
    <t>2.3</t>
  </si>
  <si>
    <t>GRECIA</t>
  </si>
  <si>
    <t>2.4</t>
  </si>
  <si>
    <t>SAN MATEO</t>
  </si>
  <si>
    <t>2.5</t>
  </si>
  <si>
    <t>ATENAS</t>
  </si>
  <si>
    <t>2.6</t>
  </si>
  <si>
    <t>NARANJO</t>
  </si>
  <si>
    <t>2.7</t>
  </si>
  <si>
    <t>PALMARES</t>
  </si>
  <si>
    <t>2.8</t>
  </si>
  <si>
    <t>POAS</t>
  </si>
  <si>
    <t>2.9</t>
  </si>
  <si>
    <t>OROTINA</t>
  </si>
  <si>
    <t>2.10</t>
  </si>
  <si>
    <t>SAN CARLOS</t>
  </si>
  <si>
    <t>2.11</t>
  </si>
  <si>
    <t>ZARCERO</t>
  </si>
  <si>
    <t>2.12</t>
  </si>
  <si>
    <t>SARCHI</t>
  </si>
  <si>
    <t>2.13</t>
  </si>
  <si>
    <t>UPALA</t>
  </si>
  <si>
    <t>2.14</t>
  </si>
  <si>
    <t>LOS CHILES</t>
  </si>
  <si>
    <t>2.15</t>
  </si>
  <si>
    <t>GUATUSO</t>
  </si>
  <si>
    <t>2.16</t>
  </si>
  <si>
    <t>RÍO CUARTO</t>
  </si>
  <si>
    <t>PARAISO</t>
  </si>
  <si>
    <t>LA UNION</t>
  </si>
  <si>
    <t>JIMENEZ</t>
  </si>
  <si>
    <t>3.5</t>
  </si>
  <si>
    <t>TURRIALBA</t>
  </si>
  <si>
    <t>3.6</t>
  </si>
  <si>
    <t>ALVARADO</t>
  </si>
  <si>
    <t>3.7</t>
  </si>
  <si>
    <t>OREAMUNO</t>
  </si>
  <si>
    <t>3.8</t>
  </si>
  <si>
    <t>EL GUARCO</t>
  </si>
  <si>
    <t>BARVA</t>
  </si>
  <si>
    <t>4.3</t>
  </si>
  <si>
    <t>SANTO DOMINGO</t>
  </si>
  <si>
    <t>4.4</t>
  </si>
  <si>
    <t>SANTA BARBARA</t>
  </si>
  <si>
    <t>4.5</t>
  </si>
  <si>
    <t>SAN RAFAEL</t>
  </si>
  <si>
    <t>4.6</t>
  </si>
  <si>
    <t>SAN ISIDRO</t>
  </si>
  <si>
    <t>4.7</t>
  </si>
  <si>
    <t>BELEN</t>
  </si>
  <si>
    <t>4.8</t>
  </si>
  <si>
    <t>FLORES</t>
  </si>
  <si>
    <t>4.9</t>
  </si>
  <si>
    <t>SAN PABLO</t>
  </si>
  <si>
    <t>4.10</t>
  </si>
  <si>
    <t>SARAPIQUI</t>
  </si>
  <si>
    <t>5.1</t>
  </si>
  <si>
    <t>LIBERIA</t>
  </si>
  <si>
    <t>5.2</t>
  </si>
  <si>
    <t>NICOYA</t>
  </si>
  <si>
    <t>5.3</t>
  </si>
  <si>
    <t>SANTA CRUZ</t>
  </si>
  <si>
    <t>5.4</t>
  </si>
  <si>
    <t>BAGACES</t>
  </si>
  <si>
    <t>5.5</t>
  </si>
  <si>
    <t>CARRILLO</t>
  </si>
  <si>
    <t>5.6</t>
  </si>
  <si>
    <t>CAÑAS</t>
  </si>
  <si>
    <t>5.7</t>
  </si>
  <si>
    <t>ABANGARES</t>
  </si>
  <si>
    <t>5.8</t>
  </si>
  <si>
    <t>TILARAN</t>
  </si>
  <si>
    <t>5.9</t>
  </si>
  <si>
    <t>NANDAYURE</t>
  </si>
  <si>
    <t>5.10</t>
  </si>
  <si>
    <t>LA CRUZ</t>
  </si>
  <si>
    <t>5.11</t>
  </si>
  <si>
    <t>HOJANCHA</t>
  </si>
  <si>
    <t>6.1</t>
  </si>
  <si>
    <t>6.2</t>
  </si>
  <si>
    <t>ESPARZA</t>
  </si>
  <si>
    <t>6.3</t>
  </si>
  <si>
    <t>BUENOS AIRES</t>
  </si>
  <si>
    <t>6.4</t>
  </si>
  <si>
    <t>MONTES DE ORO</t>
  </si>
  <si>
    <t>6.5</t>
  </si>
  <si>
    <t>OSA</t>
  </si>
  <si>
    <t>6.6</t>
  </si>
  <si>
    <t>QUEPOS</t>
  </si>
  <si>
    <t>6.7</t>
  </si>
  <si>
    <t>GOLFITO</t>
  </si>
  <si>
    <t>6.8</t>
  </si>
  <si>
    <t>COTO BRUS</t>
  </si>
  <si>
    <t>6.9</t>
  </si>
  <si>
    <t>PARRITA</t>
  </si>
  <si>
    <t>6.10</t>
  </si>
  <si>
    <t>CORREDORES</t>
  </si>
  <si>
    <t>6.11</t>
  </si>
  <si>
    <t>GARABITO</t>
  </si>
  <si>
    <t>7.1</t>
  </si>
  <si>
    <t>7.2</t>
  </si>
  <si>
    <t>POCOCI</t>
  </si>
  <si>
    <t>7.3</t>
  </si>
  <si>
    <t>SIQUIRRES</t>
  </si>
  <si>
    <t>7.4</t>
  </si>
  <si>
    <t>TALAMANCA</t>
  </si>
  <si>
    <t>7.5</t>
  </si>
  <si>
    <t>MATINA</t>
  </si>
  <si>
    <t>7.6</t>
  </si>
  <si>
    <t>GUACIMO</t>
  </si>
  <si>
    <t>1.1.1</t>
  </si>
  <si>
    <t>CARMEN</t>
  </si>
  <si>
    <t>2.1.1</t>
  </si>
  <si>
    <t>3.1.1</t>
  </si>
  <si>
    <t>ORIENTAL</t>
  </si>
  <si>
    <t>4.1.1</t>
  </si>
  <si>
    <t>5.1.1</t>
  </si>
  <si>
    <t>6.1.1</t>
  </si>
  <si>
    <t>7.1.1</t>
  </si>
  <si>
    <t>1.2.1</t>
  </si>
  <si>
    <t>2.2.1</t>
  </si>
  <si>
    <t>3.2.1</t>
  </si>
  <si>
    <t>4.2.1</t>
  </si>
  <si>
    <t>5.2.1</t>
  </si>
  <si>
    <t>6.2.1</t>
  </si>
  <si>
    <t>ESPIRITU SANTO</t>
  </si>
  <si>
    <t>7.2.1</t>
  </si>
  <si>
    <t>GUAPILES</t>
  </si>
  <si>
    <t>1.3.1</t>
  </si>
  <si>
    <t>2.3.1</t>
  </si>
  <si>
    <t>3.3.1</t>
  </si>
  <si>
    <t>TRES RIOS</t>
  </si>
  <si>
    <t>4.3.1</t>
  </si>
  <si>
    <t>5.3.1</t>
  </si>
  <si>
    <t>6.3.1</t>
  </si>
  <si>
    <t>7.3.1</t>
  </si>
  <si>
    <t>1.4.1</t>
  </si>
  <si>
    <t>SANTIAGO</t>
  </si>
  <si>
    <t>2.4.1</t>
  </si>
  <si>
    <t>3.4.1</t>
  </si>
  <si>
    <t>JUAN VIÑAS</t>
  </si>
  <si>
    <t>4.4.1</t>
  </si>
  <si>
    <t>5.4.1</t>
  </si>
  <si>
    <t>6.4.1</t>
  </si>
  <si>
    <t>MIRAMAR</t>
  </si>
  <si>
    <t>7.4.1</t>
  </si>
  <si>
    <t>BRATSI</t>
  </si>
  <si>
    <t>1.5.1</t>
  </si>
  <si>
    <t>SAN MARCOS</t>
  </si>
  <si>
    <t>2.5.1</t>
  </si>
  <si>
    <t>3.5.1</t>
  </si>
  <si>
    <t>4.5.1</t>
  </si>
  <si>
    <t>5.5.1</t>
  </si>
  <si>
    <t>FILADELFIA</t>
  </si>
  <si>
    <t>6.5.1</t>
  </si>
  <si>
    <t>PUERTO CORTES</t>
  </si>
  <si>
    <t>7.5.1</t>
  </si>
  <si>
    <t>1.6.1</t>
  </si>
  <si>
    <t>2.6.1</t>
  </si>
  <si>
    <t>3.6.1</t>
  </si>
  <si>
    <t>PACAYAS</t>
  </si>
  <si>
    <t>4.6.1</t>
  </si>
  <si>
    <t>5.6.1</t>
  </si>
  <si>
    <t>6.6.1</t>
  </si>
  <si>
    <t>7.6.1</t>
  </si>
  <si>
    <t>1.7.1</t>
  </si>
  <si>
    <t>COLON</t>
  </si>
  <si>
    <t>2.7.1</t>
  </si>
  <si>
    <t>3.7.1</t>
  </si>
  <si>
    <t>4.7.1</t>
  </si>
  <si>
    <t>SAN ANTONIO</t>
  </si>
  <si>
    <t>5.7.1</t>
  </si>
  <si>
    <t>LAS JUNTAS</t>
  </si>
  <si>
    <t>6.7.1</t>
  </si>
  <si>
    <t>1.8.1</t>
  </si>
  <si>
    <t>GUADALUPE</t>
  </si>
  <si>
    <t>2.8.1</t>
  </si>
  <si>
    <t>SAN PEDRO</t>
  </si>
  <si>
    <t>3.8.1</t>
  </si>
  <si>
    <t>EL TEJAR</t>
  </si>
  <si>
    <t>4.8.1</t>
  </si>
  <si>
    <t>SAN JOAQUIN</t>
  </si>
  <si>
    <t>5.8.1</t>
  </si>
  <si>
    <t>6.8.1</t>
  </si>
  <si>
    <t>SAN VITO</t>
  </si>
  <si>
    <t>1.9.1</t>
  </si>
  <si>
    <t>2.9.1</t>
  </si>
  <si>
    <t>4.9.1</t>
  </si>
  <si>
    <t>5.9.1</t>
  </si>
  <si>
    <t>CARMONA</t>
  </si>
  <si>
    <t>6.9.1</t>
  </si>
  <si>
    <t>1.10.1</t>
  </si>
  <si>
    <t>2.10.1</t>
  </si>
  <si>
    <t>QUESADA</t>
  </si>
  <si>
    <t>4.10.1</t>
  </si>
  <si>
    <t>PUERTO VIEJO</t>
  </si>
  <si>
    <t>5.10.1</t>
  </si>
  <si>
    <t>6.10.1</t>
  </si>
  <si>
    <t>CORREDOR</t>
  </si>
  <si>
    <t>1.11.1</t>
  </si>
  <si>
    <t>2.11.1</t>
  </si>
  <si>
    <t>5.11.1</t>
  </si>
  <si>
    <t>6.11.1</t>
  </si>
  <si>
    <t>JACO</t>
  </si>
  <si>
    <t>1.12.1</t>
  </si>
  <si>
    <t>SAN IGNACIO</t>
  </si>
  <si>
    <t>2.12.1</t>
  </si>
  <si>
    <t>SARCHI NORTE</t>
  </si>
  <si>
    <t>1.13.1</t>
  </si>
  <si>
    <t>SAN JUAN</t>
  </si>
  <si>
    <t>2.13.1</t>
  </si>
  <si>
    <t>1.14.1</t>
  </si>
  <si>
    <t>SAN VICENTE</t>
  </si>
  <si>
    <t>2.14.1</t>
  </si>
  <si>
    <t>1.15.1</t>
  </si>
  <si>
    <t>2.15.1</t>
  </si>
  <si>
    <t>1.16.1</t>
  </si>
  <si>
    <t>2.16.1</t>
  </si>
  <si>
    <t>RIO CUARTO</t>
  </si>
  <si>
    <t>1.17.1</t>
  </si>
  <si>
    <t>SANTA MARIA</t>
  </si>
  <si>
    <t>1.18.1</t>
  </si>
  <si>
    <t>1.19.1</t>
  </si>
  <si>
    <t>SAN ISIDRO DE EL GENERAL</t>
  </si>
  <si>
    <t>1.20.1</t>
  </si>
  <si>
    <t>1.1.2</t>
  </si>
  <si>
    <t>MERCED</t>
  </si>
  <si>
    <t>2.1.2</t>
  </si>
  <si>
    <t>3.1.2</t>
  </si>
  <si>
    <t>OCCIDENTAL</t>
  </si>
  <si>
    <t>4.1.2</t>
  </si>
  <si>
    <t>MERCEDES</t>
  </si>
  <si>
    <t>5.1.2</t>
  </si>
  <si>
    <t>CAÑAS DULCES</t>
  </si>
  <si>
    <t>6.1.2</t>
  </si>
  <si>
    <t>PITAHAYA</t>
  </si>
  <si>
    <t>7.1.2</t>
  </si>
  <si>
    <t>VALLE LA ESTRELLA</t>
  </si>
  <si>
    <t>1.2.2</t>
  </si>
  <si>
    <t>2.2.2</t>
  </si>
  <si>
    <t>3.2.2</t>
  </si>
  <si>
    <t>4.2.2</t>
  </si>
  <si>
    <t>5.2.2</t>
  </si>
  <si>
    <t>MANSION</t>
  </si>
  <si>
    <t>6.2.2</t>
  </si>
  <si>
    <t>SAN JUAN GRANDE</t>
  </si>
  <si>
    <t>7.2.2</t>
  </si>
  <si>
    <t>1.3.2</t>
  </si>
  <si>
    <t>SAN MIGUEL</t>
  </si>
  <si>
    <t>2.3.2</t>
  </si>
  <si>
    <t>3.3.2</t>
  </si>
  <si>
    <t>SAN DIEGO</t>
  </si>
  <si>
    <t>4.3.2</t>
  </si>
  <si>
    <t>5.3.2</t>
  </si>
  <si>
    <t>BOLSON</t>
  </si>
  <si>
    <t>6.3.2</t>
  </si>
  <si>
    <t>VOLCAN</t>
  </si>
  <si>
    <t>7.3.2</t>
  </si>
  <si>
    <t>PACUARITO</t>
  </si>
  <si>
    <t>1.4.2</t>
  </si>
  <si>
    <t>MERCEDES SUR</t>
  </si>
  <si>
    <t>2.4.2</t>
  </si>
  <si>
    <t>DESMONTE</t>
  </si>
  <si>
    <t>3.4.2</t>
  </si>
  <si>
    <t>TUCURRIQUE</t>
  </si>
  <si>
    <t>4.4.2</t>
  </si>
  <si>
    <t>5.4.2</t>
  </si>
  <si>
    <t>LA FORTUNA</t>
  </si>
  <si>
    <t>6.4.2</t>
  </si>
  <si>
    <t>7.4.2</t>
  </si>
  <si>
    <t>SIXAOLA</t>
  </si>
  <si>
    <t>1.5.2</t>
  </si>
  <si>
    <t>SAN LORENZO</t>
  </si>
  <si>
    <t>2.5.2</t>
  </si>
  <si>
    <t>JESUS</t>
  </si>
  <si>
    <t>3.5.2</t>
  </si>
  <si>
    <t>LA SUIZA</t>
  </si>
  <si>
    <t>4.5.2</t>
  </si>
  <si>
    <t>SAN JOSECITO</t>
  </si>
  <si>
    <t>5.5.2</t>
  </si>
  <si>
    <t>PALMIRA</t>
  </si>
  <si>
    <t>6.5.2</t>
  </si>
  <si>
    <t>PALMAR</t>
  </si>
  <si>
    <t>7.5.2</t>
  </si>
  <si>
    <t>BATAN</t>
  </si>
  <si>
    <t>1.6.2</t>
  </si>
  <si>
    <t>TARBACA</t>
  </si>
  <si>
    <t>2.6.2</t>
  </si>
  <si>
    <t>3.6.2</t>
  </si>
  <si>
    <t>CERVANTES</t>
  </si>
  <si>
    <t>4.6.2</t>
  </si>
  <si>
    <t>5.6.2</t>
  </si>
  <si>
    <t>6.6.2</t>
  </si>
  <si>
    <t>SAVEGRE</t>
  </si>
  <si>
    <t>7.6.2</t>
  </si>
  <si>
    <t>1.7.2</t>
  </si>
  <si>
    <t>GUAYABO</t>
  </si>
  <si>
    <t>2.7.2</t>
  </si>
  <si>
    <t>ZARAGOZA</t>
  </si>
  <si>
    <t>3.7.2</t>
  </si>
  <si>
    <t>COT</t>
  </si>
  <si>
    <t>4.7.2</t>
  </si>
  <si>
    <t>LA RIBERA</t>
  </si>
  <si>
    <t>5.7.2</t>
  </si>
  <si>
    <t>SIERRA</t>
  </si>
  <si>
    <t>6.7.2</t>
  </si>
  <si>
    <t>PUERTO JIMENEZ</t>
  </si>
  <si>
    <t>1.8.2</t>
  </si>
  <si>
    <t>SAN FRANCISCO</t>
  </si>
  <si>
    <t>2.8.2</t>
  </si>
  <si>
    <t>3.8.2</t>
  </si>
  <si>
    <t>4.8.2</t>
  </si>
  <si>
    <t>BARRANTES</t>
  </si>
  <si>
    <t>5.8.2</t>
  </si>
  <si>
    <t>QUEBRADA GRANDE</t>
  </si>
  <si>
    <t>6.8.2</t>
  </si>
  <si>
    <t>SABALITO</t>
  </si>
  <si>
    <t>1.9.2</t>
  </si>
  <si>
    <t>SALITRAL</t>
  </si>
  <si>
    <t>2.9.2</t>
  </si>
  <si>
    <t>EL MASTATE</t>
  </si>
  <si>
    <t>4.9.2</t>
  </si>
  <si>
    <t>RINCON DE SABANILLA</t>
  </si>
  <si>
    <t>5.9.2</t>
  </si>
  <si>
    <t>SANTA RITA</t>
  </si>
  <si>
    <t>1.10.2</t>
  </si>
  <si>
    <t>2.10.2</t>
  </si>
  <si>
    <t>FLORENCIA</t>
  </si>
  <si>
    <t>4.10.2</t>
  </si>
  <si>
    <t>LA VIRGEN</t>
  </si>
  <si>
    <t>5.10.2</t>
  </si>
  <si>
    <t>SANTA CECILIA</t>
  </si>
  <si>
    <t>6.10.2</t>
  </si>
  <si>
    <t>LA CUESTA</t>
  </si>
  <si>
    <t>1.11.2</t>
  </si>
  <si>
    <t>2.11.2</t>
  </si>
  <si>
    <t>LAGUNA</t>
  </si>
  <si>
    <t>5.11.2</t>
  </si>
  <si>
    <t>MONTE ROMO</t>
  </si>
  <si>
    <t>6.11.2</t>
  </si>
  <si>
    <t>TÁRCOLES</t>
  </si>
  <si>
    <t>1.12.2</t>
  </si>
  <si>
    <t>GUAITIL</t>
  </si>
  <si>
    <t>2.12.2</t>
  </si>
  <si>
    <t>SARCHI SUR</t>
  </si>
  <si>
    <t>1.13.2</t>
  </si>
  <si>
    <t>CINCO ESQUINAS</t>
  </si>
  <si>
    <t>2.13.2</t>
  </si>
  <si>
    <t>AGUAS CLARAS</t>
  </si>
  <si>
    <t>1.14.2</t>
  </si>
  <si>
    <t>SAN JERONIMO</t>
  </si>
  <si>
    <t>2.14.2</t>
  </si>
  <si>
    <t>CAÑO NEGRO</t>
  </si>
  <si>
    <t>1.15.2</t>
  </si>
  <si>
    <t>SABANILLA</t>
  </si>
  <si>
    <t>2.15.2</t>
  </si>
  <si>
    <t>BUENAVISTA</t>
  </si>
  <si>
    <t>1.16.2</t>
  </si>
  <si>
    <t>2.16.2</t>
  </si>
  <si>
    <t>1.17.2</t>
  </si>
  <si>
    <t>JARDIN</t>
  </si>
  <si>
    <t>1.18.2</t>
  </si>
  <si>
    <t>GRANADILLA</t>
  </si>
  <si>
    <t>1.19.2</t>
  </si>
  <si>
    <t>EL GENERAL</t>
  </si>
  <si>
    <t>1.20.2</t>
  </si>
  <si>
    <t>SAN ANDRES</t>
  </si>
  <si>
    <t>1.1.3</t>
  </si>
  <si>
    <t>HOSPITAL</t>
  </si>
  <si>
    <t>2.1.3</t>
  </si>
  <si>
    <t>CARRIZAL</t>
  </si>
  <si>
    <t>3.1.3</t>
  </si>
  <si>
    <t>4.1.3</t>
  </si>
  <si>
    <t>5.1.3</t>
  </si>
  <si>
    <t>MAYORGA</t>
  </si>
  <si>
    <t>6.1.3</t>
  </si>
  <si>
    <t>CHOMES</t>
  </si>
  <si>
    <t>7.1.3</t>
  </si>
  <si>
    <t>RIO BLANCO</t>
  </si>
  <si>
    <t>1.2.3</t>
  </si>
  <si>
    <t>2.2.3</t>
  </si>
  <si>
    <t>3.2.3</t>
  </si>
  <si>
    <t>OROSI</t>
  </si>
  <si>
    <t>4.2.3</t>
  </si>
  <si>
    <t>5.2.3</t>
  </si>
  <si>
    <t>6.2.3</t>
  </si>
  <si>
    <t>MACACONA</t>
  </si>
  <si>
    <t>7.2.3</t>
  </si>
  <si>
    <t>RITA</t>
  </si>
  <si>
    <t>1.3.3</t>
  </si>
  <si>
    <t>SAN JUAN DE DIOS</t>
  </si>
  <si>
    <t>2.3.3</t>
  </si>
  <si>
    <t>3.3.3</t>
  </si>
  <si>
    <t>4.3.3</t>
  </si>
  <si>
    <t>5.3.3</t>
  </si>
  <si>
    <t>VEINTISIETE DE ABRIL</t>
  </si>
  <si>
    <t>6.3.3</t>
  </si>
  <si>
    <t>POTRERO GRANDE</t>
  </si>
  <si>
    <t>7.3.3</t>
  </si>
  <si>
    <t>FLORIDA</t>
  </si>
  <si>
    <t>1.4.3</t>
  </si>
  <si>
    <t>BARBACOAS</t>
  </si>
  <si>
    <t>2.4.3</t>
  </si>
  <si>
    <t>JESUS MARIA</t>
  </si>
  <si>
    <t>3.4.3</t>
  </si>
  <si>
    <t>PEJIBAYE</t>
  </si>
  <si>
    <t>4.4.3</t>
  </si>
  <si>
    <t>5.4.3</t>
  </si>
  <si>
    <t>MOGOTE</t>
  </si>
  <si>
    <t>6.4.3</t>
  </si>
  <si>
    <t>7.4.3</t>
  </si>
  <si>
    <t>CAHUITA</t>
  </si>
  <si>
    <t>1.5.3</t>
  </si>
  <si>
    <t>2.5.3</t>
  </si>
  <si>
    <t>3.5.3</t>
  </si>
  <si>
    <t>PERALTA</t>
  </si>
  <si>
    <t>4.5.3</t>
  </si>
  <si>
    <t>5.5.3</t>
  </si>
  <si>
    <t>SARDINAL</t>
  </si>
  <si>
    <t>6.5.3</t>
  </si>
  <si>
    <t>SIERPE</t>
  </si>
  <si>
    <t>7.5.3</t>
  </si>
  <si>
    <t>CARRANDI</t>
  </si>
  <si>
    <t>1.6.3</t>
  </si>
  <si>
    <t>VUELTA DE JORCO</t>
  </si>
  <si>
    <t>2.6.3</t>
  </si>
  <si>
    <t>3.6.3</t>
  </si>
  <si>
    <t>CAPELLADES</t>
  </si>
  <si>
    <t>4.6.3</t>
  </si>
  <si>
    <t>CONCEPCION</t>
  </si>
  <si>
    <t>5.6.3</t>
  </si>
  <si>
    <t>6.6.3</t>
  </si>
  <si>
    <t>NARANJITO</t>
  </si>
  <si>
    <t>7.6.3</t>
  </si>
  <si>
    <t>POCORA</t>
  </si>
  <si>
    <t>1.7.3</t>
  </si>
  <si>
    <t>TABARCIA</t>
  </si>
  <si>
    <t>2.7.3</t>
  </si>
  <si>
    <t>3.7.3</t>
  </si>
  <si>
    <t>POTRERO CERRADO</t>
  </si>
  <si>
    <t>4.7.3</t>
  </si>
  <si>
    <t>LA ASUNCION</t>
  </si>
  <si>
    <t>5.7.3</t>
  </si>
  <si>
    <t>6.7.3</t>
  </si>
  <si>
    <t>GUAYCARA</t>
  </si>
  <si>
    <t>1.8.3</t>
  </si>
  <si>
    <t>CALLE BLANCOS</t>
  </si>
  <si>
    <t>2.8.3</t>
  </si>
  <si>
    <t>3.8.3</t>
  </si>
  <si>
    <t>TOBOSI</t>
  </si>
  <si>
    <t>4.8.3</t>
  </si>
  <si>
    <t>LLORENTE</t>
  </si>
  <si>
    <t>5.8.3</t>
  </si>
  <si>
    <t>TRONADORA</t>
  </si>
  <si>
    <t>6.8.3</t>
  </si>
  <si>
    <t>AGUABUENA</t>
  </si>
  <si>
    <t>1.9.3</t>
  </si>
  <si>
    <t>POZOS</t>
  </si>
  <si>
    <t>2.9.3</t>
  </si>
  <si>
    <t>HACIENDA VIEJA</t>
  </si>
  <si>
    <t>5.9.3</t>
  </si>
  <si>
    <t>ZAPOTAL</t>
  </si>
  <si>
    <t>1.10.3</t>
  </si>
  <si>
    <t>2.10.3</t>
  </si>
  <si>
    <t>4.10.3</t>
  </si>
  <si>
    <t>LAS HORQUETAS</t>
  </si>
  <si>
    <t>5.10.3</t>
  </si>
  <si>
    <t>LA GARITA</t>
  </si>
  <si>
    <t>6.10.3</t>
  </si>
  <si>
    <t>CANOAS</t>
  </si>
  <si>
    <t>1.11.3</t>
  </si>
  <si>
    <t>DULCE NOMBRE DE JESUS</t>
  </si>
  <si>
    <t>2.11.3</t>
  </si>
  <si>
    <t>TAPESCO</t>
  </si>
  <si>
    <t>5.11.3</t>
  </si>
  <si>
    <t>PUERTO CARRILLO</t>
  </si>
  <si>
    <t>1.12.3</t>
  </si>
  <si>
    <t>PALMICHAL</t>
  </si>
  <si>
    <t>2.12.3</t>
  </si>
  <si>
    <t>TORO AMARILLO</t>
  </si>
  <si>
    <t>1.13.3</t>
  </si>
  <si>
    <t>ANSELMO LLORENTE</t>
  </si>
  <si>
    <t>2.13.3</t>
  </si>
  <si>
    <t>SAN JOSE o PIZOTE</t>
  </si>
  <si>
    <t>1.14.3</t>
  </si>
  <si>
    <t>LA TRINIDAD</t>
  </si>
  <si>
    <t>2.14.3</t>
  </si>
  <si>
    <t>EL AMPARO</t>
  </si>
  <si>
    <t>1.15.3</t>
  </si>
  <si>
    <t>2.15.3</t>
  </si>
  <si>
    <t>COTE</t>
  </si>
  <si>
    <t>1.16.3</t>
  </si>
  <si>
    <t>SAN JUAN DE MATA</t>
  </si>
  <si>
    <t>2.16.3</t>
  </si>
  <si>
    <t>SANTA ISABEL</t>
  </si>
  <si>
    <t>1.17.3</t>
  </si>
  <si>
    <t>COPEY</t>
  </si>
  <si>
    <t>1.18.3</t>
  </si>
  <si>
    <t>SANCHEZ</t>
  </si>
  <si>
    <t>1.19.3</t>
  </si>
  <si>
    <t>DANIEL FLORES</t>
  </si>
  <si>
    <t>1.20.3</t>
  </si>
  <si>
    <t>LLANO BONITO</t>
  </si>
  <si>
    <t>1.1.4</t>
  </si>
  <si>
    <t>CATEDRAL</t>
  </si>
  <si>
    <t>2.1.4</t>
  </si>
  <si>
    <t>3.1.4</t>
  </si>
  <si>
    <t>SAN NICOLAS</t>
  </si>
  <si>
    <t>4.1.4</t>
  </si>
  <si>
    <t>ULLOA</t>
  </si>
  <si>
    <t>5.1.4</t>
  </si>
  <si>
    <t>NACASCOLO</t>
  </si>
  <si>
    <t>6.1.4</t>
  </si>
  <si>
    <t>LEPANTO</t>
  </si>
  <si>
    <t>7.1.4</t>
  </si>
  <si>
    <t>MATAMA</t>
  </si>
  <si>
    <t>1.2.4</t>
  </si>
  <si>
    <t>GUACHIPELIN</t>
  </si>
  <si>
    <t>2.2.4</t>
  </si>
  <si>
    <t>PIEDADES NORTE</t>
  </si>
  <si>
    <t>3.2.4</t>
  </si>
  <si>
    <t>CACHI</t>
  </si>
  <si>
    <t>4.2.4</t>
  </si>
  <si>
    <t>SAN ROQUE</t>
  </si>
  <si>
    <t>5.2.4</t>
  </si>
  <si>
    <t>QUEBRADA HONDA</t>
  </si>
  <si>
    <t>6.2.4</t>
  </si>
  <si>
    <t>7.2.4</t>
  </si>
  <si>
    <t>ROXANA</t>
  </si>
  <si>
    <t>1.3.4</t>
  </si>
  <si>
    <t>SAN RAFAEL ARRIBA</t>
  </si>
  <si>
    <t>2.3.4</t>
  </si>
  <si>
    <t>3.3.4</t>
  </si>
  <si>
    <t>4.3.4</t>
  </si>
  <si>
    <t>PARACITO</t>
  </si>
  <si>
    <t>5.3.4</t>
  </si>
  <si>
    <t>TEMPATE</t>
  </si>
  <si>
    <t>6.3.4</t>
  </si>
  <si>
    <t>BORUCA</t>
  </si>
  <si>
    <t>7.3.4</t>
  </si>
  <si>
    <t>GERMANIA</t>
  </si>
  <si>
    <t>1.4.4</t>
  </si>
  <si>
    <t>GRIFO ALTO</t>
  </si>
  <si>
    <t>2.4.4</t>
  </si>
  <si>
    <t>LABRADOR</t>
  </si>
  <si>
    <t>4.4.4</t>
  </si>
  <si>
    <t>5.4.4</t>
  </si>
  <si>
    <t>RIO NARANJO</t>
  </si>
  <si>
    <t>7.4.4</t>
  </si>
  <si>
    <t>TELIRE</t>
  </si>
  <si>
    <t>2.5.4</t>
  </si>
  <si>
    <t>3.5.4</t>
  </si>
  <si>
    <t>4.5.4</t>
  </si>
  <si>
    <t>ANGELES</t>
  </si>
  <si>
    <t>5.5.4</t>
  </si>
  <si>
    <t>6.5.4</t>
  </si>
  <si>
    <t>BAHIA BALLENA</t>
  </si>
  <si>
    <t>1.6.4</t>
  </si>
  <si>
    <t>SAN GABRIEL</t>
  </si>
  <si>
    <t>2.6.4</t>
  </si>
  <si>
    <t>CIRRI SUR</t>
  </si>
  <si>
    <t>4.6.4</t>
  </si>
  <si>
    <t>5.6.4</t>
  </si>
  <si>
    <t>BEBEDERO</t>
  </si>
  <si>
    <t>7.6.4</t>
  </si>
  <si>
    <t>RIO JIMENEZ</t>
  </si>
  <si>
    <t>1.7.4</t>
  </si>
  <si>
    <t>PIEDRAS NEGRAS</t>
  </si>
  <si>
    <t>2.7.4</t>
  </si>
  <si>
    <t>3.7.4</t>
  </si>
  <si>
    <t>CIPRESES</t>
  </si>
  <si>
    <t>5.7.4</t>
  </si>
  <si>
    <t>COLORADO</t>
  </si>
  <si>
    <t>6.7.4</t>
  </si>
  <si>
    <t>PAVÓN</t>
  </si>
  <si>
    <t>1.8.4</t>
  </si>
  <si>
    <t>MATA DE PLATANO</t>
  </si>
  <si>
    <t>2.8.4</t>
  </si>
  <si>
    <t>CARRILLOS</t>
  </si>
  <si>
    <t>3.8.4</t>
  </si>
  <si>
    <t>PATIO DE AGUA</t>
  </si>
  <si>
    <t>5.8.4</t>
  </si>
  <si>
    <t>SANTA ROSA</t>
  </si>
  <si>
    <t>6.8.4</t>
  </si>
  <si>
    <t>LIMONCITO</t>
  </si>
  <si>
    <t>1.9.4</t>
  </si>
  <si>
    <t>URUCA</t>
  </si>
  <si>
    <t>2.9.4</t>
  </si>
  <si>
    <t>COYOLAR</t>
  </si>
  <si>
    <t>5.9.4</t>
  </si>
  <si>
    <t>1.10.4</t>
  </si>
  <si>
    <t>2.10.4</t>
  </si>
  <si>
    <t>AGUAS ZARCAS</t>
  </si>
  <si>
    <t>4.10.4</t>
  </si>
  <si>
    <t>LLANURAS DE GASPAR</t>
  </si>
  <si>
    <t>5.10.4</t>
  </si>
  <si>
    <t>SANTA ELENA</t>
  </si>
  <si>
    <t>6.10.4</t>
  </si>
  <si>
    <t>LAUREL</t>
  </si>
  <si>
    <t>1.11.4</t>
  </si>
  <si>
    <t>PATALILLO</t>
  </si>
  <si>
    <t>2.11.4</t>
  </si>
  <si>
    <t>5.11.4</t>
  </si>
  <si>
    <t>HUACAS</t>
  </si>
  <si>
    <t>1.12.4</t>
  </si>
  <si>
    <t>CANGREJAL</t>
  </si>
  <si>
    <t>2.12.4</t>
  </si>
  <si>
    <t>1.13.4</t>
  </si>
  <si>
    <t>LEON XIII</t>
  </si>
  <si>
    <t>2.13.4</t>
  </si>
  <si>
    <t>BIJAGUA</t>
  </si>
  <si>
    <t>2.14.4</t>
  </si>
  <si>
    <t>SAN JORGE</t>
  </si>
  <si>
    <t>1.15.4</t>
  </si>
  <si>
    <t>2.15.4</t>
  </si>
  <si>
    <t>KATIRA</t>
  </si>
  <si>
    <t>1.16.4</t>
  </si>
  <si>
    <t>SAN LUIS</t>
  </si>
  <si>
    <t>1.18.4</t>
  </si>
  <si>
    <t>TIRRASES</t>
  </si>
  <si>
    <t>1.19.4</t>
  </si>
  <si>
    <t>RIVAS</t>
  </si>
  <si>
    <t>1.20.4</t>
  </si>
  <si>
    <t>1.1.5</t>
  </si>
  <si>
    <t>ZAPOTE</t>
  </si>
  <si>
    <t>2.1.5</t>
  </si>
  <si>
    <t>GUACIMA</t>
  </si>
  <si>
    <t>3.1.5</t>
  </si>
  <si>
    <t>AGUACALIENTE o SAN FRANCISCO</t>
  </si>
  <si>
    <t>4.1.5</t>
  </si>
  <si>
    <t>VARABLANCA</t>
  </si>
  <si>
    <t>5.1.5</t>
  </si>
  <si>
    <t>CURUBANDE</t>
  </si>
  <si>
    <t>6.1.5</t>
  </si>
  <si>
    <t>PAQUERA</t>
  </si>
  <si>
    <t>2.2.5</t>
  </si>
  <si>
    <t>PIEDADES SUR</t>
  </si>
  <si>
    <t>3.2.5</t>
  </si>
  <si>
    <t>LLANOS DE SANTA LUCIA</t>
  </si>
  <si>
    <t>4.2.5</t>
  </si>
  <si>
    <t>SANTA LUCIA</t>
  </si>
  <si>
    <t>5.2.5</t>
  </si>
  <si>
    <t>SAMARA</t>
  </si>
  <si>
    <t>6.2.5</t>
  </si>
  <si>
    <t>7.2.5</t>
  </si>
  <si>
    <t>CARIARI</t>
  </si>
  <si>
    <t>1.3.5</t>
  </si>
  <si>
    <t>2.3.5</t>
  </si>
  <si>
    <t>TACARES</t>
  </si>
  <si>
    <t>3.3.5</t>
  </si>
  <si>
    <t>4.3.5</t>
  </si>
  <si>
    <t>SANTO TOMAS</t>
  </si>
  <si>
    <t>5.3.5</t>
  </si>
  <si>
    <t>CARTAGENA</t>
  </si>
  <si>
    <t>6.3.5</t>
  </si>
  <si>
    <t>PILAS</t>
  </si>
  <si>
    <t>7.3.5</t>
  </si>
  <si>
    <t>EL CAIRO</t>
  </si>
  <si>
    <t>1.4.5</t>
  </si>
  <si>
    <t>4.4.5</t>
  </si>
  <si>
    <t>2.5.5</t>
  </si>
  <si>
    <t>3.5.5</t>
  </si>
  <si>
    <t>SANTA TERESITA</t>
  </si>
  <si>
    <t>4.5.5</t>
  </si>
  <si>
    <t>6.5.5</t>
  </si>
  <si>
    <t>PIEDRAS BLANCAS</t>
  </si>
  <si>
    <t>1.6.5</t>
  </si>
  <si>
    <t>LEGUA</t>
  </si>
  <si>
    <t>2.6.5</t>
  </si>
  <si>
    <t>5.6.5</t>
  </si>
  <si>
    <t>POROSAL</t>
  </si>
  <si>
    <t>7.6.5</t>
  </si>
  <si>
    <t>DUACARI</t>
  </si>
  <si>
    <t>1.7.5</t>
  </si>
  <si>
    <t>PICAGRES</t>
  </si>
  <si>
    <t>2.7.5</t>
  </si>
  <si>
    <t>CANDELARIA</t>
  </si>
  <si>
    <t>3.7.5</t>
  </si>
  <si>
    <t>1.8.5</t>
  </si>
  <si>
    <t>IPIS</t>
  </si>
  <si>
    <t>2.8.5</t>
  </si>
  <si>
    <t>SABANA REDONDA</t>
  </si>
  <si>
    <t>5.8.5</t>
  </si>
  <si>
    <t>LIBANO</t>
  </si>
  <si>
    <t>6.8.5</t>
  </si>
  <si>
    <t>PITTIER</t>
  </si>
  <si>
    <t>1.9.5</t>
  </si>
  <si>
    <t>PIEDADES</t>
  </si>
  <si>
    <t>2.9.5</t>
  </si>
  <si>
    <t>LA CEIBA</t>
  </si>
  <si>
    <t>5.9.5</t>
  </si>
  <si>
    <t>PORVENIR</t>
  </si>
  <si>
    <t>1.10.5</t>
  </si>
  <si>
    <t>SAN FELIPE</t>
  </si>
  <si>
    <t>2.10.5</t>
  </si>
  <si>
    <t>VENECIA</t>
  </si>
  <si>
    <t>4.10.5</t>
  </si>
  <si>
    <t>CUREÑA</t>
  </si>
  <si>
    <t>1.11.5</t>
  </si>
  <si>
    <t>CASCAJAL</t>
  </si>
  <si>
    <t>2.11.5</t>
  </si>
  <si>
    <t>5.11.5</t>
  </si>
  <si>
    <t>MATAMBÚ</t>
  </si>
  <si>
    <t>1.12.5</t>
  </si>
  <si>
    <t>SABANILLAS</t>
  </si>
  <si>
    <t>2.12.5</t>
  </si>
  <si>
    <t>RODRIGUEZ</t>
  </si>
  <si>
    <t>1.13.5</t>
  </si>
  <si>
    <t>COLIMA</t>
  </si>
  <si>
    <t>2.13.5</t>
  </si>
  <si>
    <t>DELICIAS</t>
  </si>
  <si>
    <t>1.16.5</t>
  </si>
  <si>
    <t>CARARA</t>
  </si>
  <si>
    <t>1.19.5</t>
  </si>
  <si>
    <t>1.20.5</t>
  </si>
  <si>
    <t>1.1.6</t>
  </si>
  <si>
    <t>SAN FRANCISCO DE DOS RIOS</t>
  </si>
  <si>
    <t>2.1.6</t>
  </si>
  <si>
    <t>3.1.6</t>
  </si>
  <si>
    <t>GUADALUPE o ARENILLA</t>
  </si>
  <si>
    <t>6.1.6</t>
  </si>
  <si>
    <t>MANZANILLO</t>
  </si>
  <si>
    <t>2.2.6</t>
  </si>
  <si>
    <t>4.2.6</t>
  </si>
  <si>
    <t>SAN JOSE DE LA MONTAÑA</t>
  </si>
  <si>
    <t>5.2.6</t>
  </si>
  <si>
    <t>NOSARA</t>
  </si>
  <si>
    <t>6.2.6</t>
  </si>
  <si>
    <t>CALDERA</t>
  </si>
  <si>
    <t>7.2.6</t>
  </si>
  <si>
    <t>1.3.6</t>
  </si>
  <si>
    <t>FRAILES</t>
  </si>
  <si>
    <t>2.3.6</t>
  </si>
  <si>
    <t>3.3.6</t>
  </si>
  <si>
    <t>DULCE NOMBRE</t>
  </si>
  <si>
    <t>4.3.6</t>
  </si>
  <si>
    <t>5.3.6</t>
  </si>
  <si>
    <t>CUAJINIQUIL</t>
  </si>
  <si>
    <t>6.3.6</t>
  </si>
  <si>
    <t>COLINAS</t>
  </si>
  <si>
    <t>7.3.6</t>
  </si>
  <si>
    <t>ALEGRIA</t>
  </si>
  <si>
    <t>1.4.6</t>
  </si>
  <si>
    <t>CANDELARITA</t>
  </si>
  <si>
    <t>4.4.6</t>
  </si>
  <si>
    <t>PURABÁ</t>
  </si>
  <si>
    <t>2.5.6</t>
  </si>
  <si>
    <t>3.5.6</t>
  </si>
  <si>
    <t>PAVONES</t>
  </si>
  <si>
    <t>6.5.6</t>
  </si>
  <si>
    <t>BAHIA DRAKE</t>
  </si>
  <si>
    <t>1.6.6</t>
  </si>
  <si>
    <t>MONTERREY</t>
  </si>
  <si>
    <t>2.6.6</t>
  </si>
  <si>
    <t>1.7.6</t>
  </si>
  <si>
    <t>JARIS</t>
  </si>
  <si>
    <t>2.7.6</t>
  </si>
  <si>
    <t>ESQUIPULAS</t>
  </si>
  <si>
    <t>1.8.6</t>
  </si>
  <si>
    <t>RANCHO REDONDO</t>
  </si>
  <si>
    <t>5.8.6</t>
  </si>
  <si>
    <t>TIERRAS MORENAS</t>
  </si>
  <si>
    <t>6.8.6</t>
  </si>
  <si>
    <t>GUTIERREZ BRAUN</t>
  </si>
  <si>
    <t>1.9.6</t>
  </si>
  <si>
    <t>BRASIL</t>
  </si>
  <si>
    <t>5.9.6</t>
  </si>
  <si>
    <t>BEJUCO</t>
  </si>
  <si>
    <t>2.10.6</t>
  </si>
  <si>
    <t>PITAL</t>
  </si>
  <si>
    <t>2.11.6</t>
  </si>
  <si>
    <t>2.13.6</t>
  </si>
  <si>
    <t>DOS RIOS</t>
  </si>
  <si>
    <t>1.19.6</t>
  </si>
  <si>
    <t>PLATANARES</t>
  </si>
  <si>
    <t>1.20.6</t>
  </si>
  <si>
    <t>1.1.7</t>
  </si>
  <si>
    <t>2.1.7</t>
  </si>
  <si>
    <t>3.1.7</t>
  </si>
  <si>
    <t>CORRALILLO</t>
  </si>
  <si>
    <t>6.1.7</t>
  </si>
  <si>
    <t>GUACIMAL</t>
  </si>
  <si>
    <t>2.2.7</t>
  </si>
  <si>
    <t>5.2.7</t>
  </si>
  <si>
    <t>BELEN DE NOSARITA</t>
  </si>
  <si>
    <t>7.2.7</t>
  </si>
  <si>
    <t>LA COLONIA</t>
  </si>
  <si>
    <t>1.3.7</t>
  </si>
  <si>
    <t>PATARRA</t>
  </si>
  <si>
    <t>2.3.7</t>
  </si>
  <si>
    <t>PUENTE DE PIEDRA</t>
  </si>
  <si>
    <t>3.3.7</t>
  </si>
  <si>
    <t>4.3.7</t>
  </si>
  <si>
    <t>TURES</t>
  </si>
  <si>
    <t>5.3.7</t>
  </si>
  <si>
    <t>DIRIA</t>
  </si>
  <si>
    <t>6.3.7</t>
  </si>
  <si>
    <t>CHÁNGUENA</t>
  </si>
  <si>
    <t>7.3.7</t>
  </si>
  <si>
    <t>REVENTAZON</t>
  </si>
  <si>
    <t>1.4.7</t>
  </si>
  <si>
    <t>DESAMPARADITOS</t>
  </si>
  <si>
    <t>2.5.7</t>
  </si>
  <si>
    <t>SANTA EULALIA</t>
  </si>
  <si>
    <t>3.5.7</t>
  </si>
  <si>
    <t>TUIS</t>
  </si>
  <si>
    <t>1.6.7</t>
  </si>
  <si>
    <t>SALITRILLOS</t>
  </si>
  <si>
    <t>2.6.7</t>
  </si>
  <si>
    <t>ROSARIO</t>
  </si>
  <si>
    <t>1.7.7</t>
  </si>
  <si>
    <t>QUITIRRISI</t>
  </si>
  <si>
    <t>2.7.7</t>
  </si>
  <si>
    <t>LA GRANJA</t>
  </si>
  <si>
    <t>1.8.7</t>
  </si>
  <si>
    <t>PURRAL</t>
  </si>
  <si>
    <t>5.8.7</t>
  </si>
  <si>
    <t>ARENAL</t>
  </si>
  <si>
    <t>2.10.7</t>
  </si>
  <si>
    <t>2.11.7</t>
  </si>
  <si>
    <t>BRISAS</t>
  </si>
  <si>
    <t>2.13.7</t>
  </si>
  <si>
    <t>YOLILLAL</t>
  </si>
  <si>
    <t>1.19.7</t>
  </si>
  <si>
    <t>1.1.8</t>
  </si>
  <si>
    <t>MATA REDONDA</t>
  </si>
  <si>
    <t>2.1.8</t>
  </si>
  <si>
    <t>3.1.8</t>
  </si>
  <si>
    <t>TIERRA BLANCA</t>
  </si>
  <si>
    <t>6.1.8</t>
  </si>
  <si>
    <t>BARRANCA</t>
  </si>
  <si>
    <t>2.2.8</t>
  </si>
  <si>
    <t>1.3.8</t>
  </si>
  <si>
    <t>SAN CRISTOBAL</t>
  </si>
  <si>
    <t>2.3.8</t>
  </si>
  <si>
    <t>BOLIVAR</t>
  </si>
  <si>
    <t>3.3.8</t>
  </si>
  <si>
    <t>RIO AZUL</t>
  </si>
  <si>
    <t>4.3.8</t>
  </si>
  <si>
    <t>PARA</t>
  </si>
  <si>
    <t>5.3.8</t>
  </si>
  <si>
    <t>CABO VELAS</t>
  </si>
  <si>
    <t>6.3.8</t>
  </si>
  <si>
    <t>BIOLLEY</t>
  </si>
  <si>
    <t>1.4.8</t>
  </si>
  <si>
    <t>2.5.8</t>
  </si>
  <si>
    <t>ESCOBAL</t>
  </si>
  <si>
    <t>3.5.8</t>
  </si>
  <si>
    <t>TAYUTIC</t>
  </si>
  <si>
    <t>2.6.8</t>
  </si>
  <si>
    <t>PALMITOS</t>
  </si>
  <si>
    <t>2.10.8</t>
  </si>
  <si>
    <t>LA TIGRA</t>
  </si>
  <si>
    <t>2.13.8</t>
  </si>
  <si>
    <t>CANALETE</t>
  </si>
  <si>
    <t>1.19.8</t>
  </si>
  <si>
    <t>CAJON</t>
  </si>
  <si>
    <t>1.1.9</t>
  </si>
  <si>
    <t>PAVAS</t>
  </si>
  <si>
    <t>2.1.9</t>
  </si>
  <si>
    <t>RIO SEGUNDO</t>
  </si>
  <si>
    <t>3.1.9</t>
  </si>
  <si>
    <t>6.1.9</t>
  </si>
  <si>
    <t>MONTE VERDE</t>
  </si>
  <si>
    <t>2.2.9</t>
  </si>
  <si>
    <t>ALFARO</t>
  </si>
  <si>
    <t>1.3.9</t>
  </si>
  <si>
    <t>5.3.9</t>
  </si>
  <si>
    <t>TAMARINDO</t>
  </si>
  <si>
    <t>6.3.9</t>
  </si>
  <si>
    <t>BRUNKA</t>
  </si>
  <si>
    <t>1.4.9</t>
  </si>
  <si>
    <t>CHIRES</t>
  </si>
  <si>
    <t>3.5.9</t>
  </si>
  <si>
    <t>2.10.9</t>
  </si>
  <si>
    <t>LA PALMERA</t>
  </si>
  <si>
    <t>1.19.9</t>
  </si>
  <si>
    <t>BARU</t>
  </si>
  <si>
    <t>1.1.10</t>
  </si>
  <si>
    <t>HATILLO</t>
  </si>
  <si>
    <t>2.1.10</t>
  </si>
  <si>
    <t>3.1.10</t>
  </si>
  <si>
    <t>LLANO GRANDE</t>
  </si>
  <si>
    <t>6.1.10</t>
  </si>
  <si>
    <t>COBANO</t>
  </si>
  <si>
    <t>2.2.10</t>
  </si>
  <si>
    <t>VOLIO</t>
  </si>
  <si>
    <t>1.3.10</t>
  </si>
  <si>
    <t>DAMAS</t>
  </si>
  <si>
    <t>3.5.10</t>
  </si>
  <si>
    <t>TRES EQUIS</t>
  </si>
  <si>
    <t>2.10.10</t>
  </si>
  <si>
    <t>VENADO</t>
  </si>
  <si>
    <t>1.19.10</t>
  </si>
  <si>
    <t>RIO NUEVO</t>
  </si>
  <si>
    <t>1.1.11</t>
  </si>
  <si>
    <t>SAN SEBASTIAN</t>
  </si>
  <si>
    <t>2.1.11</t>
  </si>
  <si>
    <t>TURRUCARES</t>
  </si>
  <si>
    <t>3.1.11</t>
  </si>
  <si>
    <t>QUEBRADILLA</t>
  </si>
  <si>
    <t>6.1.11</t>
  </si>
  <si>
    <t>CHACARITA</t>
  </si>
  <si>
    <t>2.2.11</t>
  </si>
  <si>
    <t>1.3.11</t>
  </si>
  <si>
    <t>SAN RAFAEL ABAJO</t>
  </si>
  <si>
    <t>3.5.11</t>
  </si>
  <si>
    <t>LA  ISABEL</t>
  </si>
  <si>
    <t>2.10.11</t>
  </si>
  <si>
    <t>CUTRIS</t>
  </si>
  <si>
    <t>1.19.11</t>
  </si>
  <si>
    <t>PARAMO</t>
  </si>
  <si>
    <t>1.1.12</t>
  </si>
  <si>
    <t>PRUEBA</t>
  </si>
  <si>
    <t>2.1.12</t>
  </si>
  <si>
    <t>TAMBOR</t>
  </si>
  <si>
    <t>6.1.12</t>
  </si>
  <si>
    <t>CHIRA</t>
  </si>
  <si>
    <t>2.2.12</t>
  </si>
  <si>
    <t>1.3.12</t>
  </si>
  <si>
    <t>GRAVILIAS</t>
  </si>
  <si>
    <t>3.5.12</t>
  </si>
  <si>
    <t>CHIRRIPO</t>
  </si>
  <si>
    <t>2.10.12</t>
  </si>
  <si>
    <t>1.19.12</t>
  </si>
  <si>
    <t>LA AMISTAD</t>
  </si>
  <si>
    <t>2.1.13</t>
  </si>
  <si>
    <t>GARITA</t>
  </si>
  <si>
    <t>6.1.13</t>
  </si>
  <si>
    <t>ACAPULCO</t>
  </si>
  <si>
    <t>2.2.13</t>
  </si>
  <si>
    <t>PEÑAS BLANCAS</t>
  </si>
  <si>
    <t>1.3.13</t>
  </si>
  <si>
    <t>LOS GUIDOS</t>
  </si>
  <si>
    <t>2.10.13</t>
  </si>
  <si>
    <t>POCOSOL</t>
  </si>
  <si>
    <t>2.1.14</t>
  </si>
  <si>
    <t>6.1.14</t>
  </si>
  <si>
    <t>EL ROBLE</t>
  </si>
  <si>
    <t>2.2.14</t>
  </si>
  <si>
    <t>6.1.15</t>
  </si>
  <si>
    <t>ARANCIBIA</t>
  </si>
  <si>
    <t>6.1.16</t>
  </si>
  <si>
    <t>ISLA DEL COCO</t>
  </si>
  <si>
    <t>Consumo (excepto vehículos y tarjetas).  Se debe utilizar solo para personas físicas</t>
  </si>
  <si>
    <t>Vehículos.  Se debe utilizar solo para personas físicas</t>
  </si>
  <si>
    <t>Tarjeta de crédito.</t>
  </si>
  <si>
    <t>Vivienda residencial  Se debe utilizar solo para personas físicas</t>
  </si>
  <si>
    <t>Micro y Pequeña Empresa</t>
  </si>
  <si>
    <t>Para efectos del uso de los códigos 4, 5 y 6 se utilizará la definición que establece el Ministerio de Economía e Industria y Comercio.</t>
  </si>
  <si>
    <t>Gran Empresa (Corporativo)</t>
  </si>
  <si>
    <t>Gobierno Central</t>
  </si>
  <si>
    <t>Artículo 167 Ley 7052 (Cuota Refinanciada) 2)</t>
  </si>
  <si>
    <t>LEY No. 7052  LEY DEL SISTEMA FINANCIERO NACIONAL PARA LA VIVIENDA
Artículo 167.- Las entidades autorizadas podrán otorgar sus créditos mediante sistemas de pago, en los cuales la cuota se ajuste con base en la variación de los salarios mínimos. Esas cuotas pueden ser menores al mínimo necesario para cubrir intereses y amortización -cuota refinanciada- y las diferencias en descubierto se acumularán en el saldo del crédito en forma de capitalización, sin que por ello se pueda aplicar el artículo 505 del Código de Comercio. En todo caso, el monto de la cuota así fijada será aplicable primero a cubrir intereses, y si queda algo será aplicado a amortizar la deuda. Similar tratamiento podrá aplicarse a créditos ya establecidos. Los entes autorizados podrán utilizar sistemas mediante otros parámetros fijados por la Junta Directiva del Banco. (Reformado por Ley No. 7558 del 3 de noviembre de 1995)</t>
  </si>
  <si>
    <t>Microcrédito SBD</t>
  </si>
  <si>
    <t>Banca Segundo Piso SBD</t>
  </si>
  <si>
    <t>Banca Desarrollo SBD</t>
  </si>
  <si>
    <t xml:space="preserve">PERSONALES - INDIVIDUALES </t>
  </si>
  <si>
    <t xml:space="preserve">PERSONALES - COLECTIVAS </t>
  </si>
  <si>
    <t>GENERALES</t>
  </si>
  <si>
    <t>OTRO TIPO DE PÓLIZAS</t>
  </si>
  <si>
    <t>Instrumento negociable en Bolsa Nacional de Valores excepto las participaciones de los Fondos de Inversión</t>
  </si>
  <si>
    <t>Instrumento negociable en Otras Bolsas excepto las participaciones de los Fondos de Inversión</t>
  </si>
  <si>
    <t>Participaciones en Fondos de Inversión no Negociables en Bolsa Nacional de Valores u otras bolsas</t>
  </si>
  <si>
    <t>Participaciones en Fondos de Inversión negociables en Bolsa Nacional de Valores u otras bolsas</t>
  </si>
  <si>
    <t>Instrumentos de deuda/capital no Negociables en bolsa excepto participaciones en los Fondos de Inversión</t>
  </si>
  <si>
    <t>Cuentas de depósito a la vista en entidades financieras nacionales y del extranjero</t>
  </si>
  <si>
    <t>Operaciones de compra con pacto de reventa</t>
  </si>
  <si>
    <t>ACCIONES EMITIDAS POR LA ENTIDAD FINANCIERA</t>
  </si>
  <si>
    <t>INVERSION EN ACCIONES DE OTRAS EMPRESAS</t>
  </si>
  <si>
    <t>C TIPO MONEDA</t>
  </si>
  <si>
    <t>NOMBRE TIPO MONEDA</t>
  </si>
  <si>
    <t>ES NACIONAL</t>
  </si>
  <si>
    <t>ES ACTIVO</t>
  </si>
  <si>
    <t>ALIAS</t>
  </si>
  <si>
    <t>CODIGO ISO</t>
  </si>
  <si>
    <t>DESCRIPCION COMPLETA</t>
  </si>
  <si>
    <t>colón</t>
  </si>
  <si>
    <t>N</t>
  </si>
  <si>
    <t>CRC</t>
  </si>
  <si>
    <t>Colón de Costa Rica</t>
  </si>
  <si>
    <t>dolar estadounidense</t>
  </si>
  <si>
    <t>2</t>
  </si>
  <si>
    <t>USD</t>
  </si>
  <si>
    <t>Dólar Americano</t>
  </si>
  <si>
    <t>Euro</t>
  </si>
  <si>
    <t>3</t>
  </si>
  <si>
    <t>ECU</t>
  </si>
  <si>
    <t>Moneda Única Europea (EURO)</t>
  </si>
  <si>
    <t>unidades de desarrollo</t>
  </si>
  <si>
    <t>4</t>
  </si>
  <si>
    <t>UDS</t>
  </si>
  <si>
    <t>Unidades de Desarrollo (propuesto)</t>
  </si>
  <si>
    <t>afgani</t>
  </si>
  <si>
    <t>5</t>
  </si>
  <si>
    <t>AFA</t>
  </si>
  <si>
    <t>Afgani</t>
  </si>
  <si>
    <t>lek</t>
  </si>
  <si>
    <t>6</t>
  </si>
  <si>
    <t>ALL</t>
  </si>
  <si>
    <t>Lek Albanés</t>
  </si>
  <si>
    <t>kwanza</t>
  </si>
  <si>
    <t>7</t>
  </si>
  <si>
    <t>AOK</t>
  </si>
  <si>
    <t>Kwanza Angolés</t>
  </si>
  <si>
    <t>dólar del Caribe Oriental</t>
  </si>
  <si>
    <t>8</t>
  </si>
  <si>
    <t>XCD</t>
  </si>
  <si>
    <t>Dólar de Caribe Oriental</t>
  </si>
  <si>
    <t>florín de las Antillas Neerlandesas</t>
  </si>
  <si>
    <t>9</t>
  </si>
  <si>
    <t>ANG</t>
  </si>
  <si>
    <t>Florín de las Antillas Holandesas</t>
  </si>
  <si>
    <t>rial (o riyal) saudí</t>
  </si>
  <si>
    <t>10</t>
  </si>
  <si>
    <t>SAR</t>
  </si>
  <si>
    <t>Riyal de Arabia Saudí</t>
  </si>
  <si>
    <t>dinar argelino</t>
  </si>
  <si>
    <t>11</t>
  </si>
  <si>
    <t>DZD</t>
  </si>
  <si>
    <t>Dinar de Argelia</t>
  </si>
  <si>
    <t>peso argentino</t>
  </si>
  <si>
    <t>12</t>
  </si>
  <si>
    <t>ARS</t>
  </si>
  <si>
    <t>Peso Argentino</t>
  </si>
  <si>
    <t>dram</t>
  </si>
  <si>
    <t>13</t>
  </si>
  <si>
    <t>AMD</t>
  </si>
  <si>
    <t>Dram Armenio</t>
  </si>
  <si>
    <t>florín de Aruba</t>
  </si>
  <si>
    <t>14</t>
  </si>
  <si>
    <t>AWG</t>
  </si>
  <si>
    <t>Guilder de Aruba</t>
  </si>
  <si>
    <t>dólar australiano</t>
  </si>
  <si>
    <t>15</t>
  </si>
  <si>
    <t>AUD</t>
  </si>
  <si>
    <t>Dólar Australiano</t>
  </si>
  <si>
    <t>manat azerí</t>
  </si>
  <si>
    <t>16</t>
  </si>
  <si>
    <t>AZM</t>
  </si>
  <si>
    <t>Manat de Azerbaijan</t>
  </si>
  <si>
    <t>dólar de las bahamas</t>
  </si>
  <si>
    <t>17</t>
  </si>
  <si>
    <t>BSD</t>
  </si>
  <si>
    <t>Dólar de Bahamas</t>
  </si>
  <si>
    <t>dinar bahriní</t>
  </si>
  <si>
    <t>18</t>
  </si>
  <si>
    <t>BHD</t>
  </si>
  <si>
    <t>Dinar de Bahrein</t>
  </si>
  <si>
    <t>taka</t>
  </si>
  <si>
    <t>19</t>
  </si>
  <si>
    <t>BDT</t>
  </si>
  <si>
    <t>Taka de Bangladesh</t>
  </si>
  <si>
    <t>dólar de Barbados</t>
  </si>
  <si>
    <t>20</t>
  </si>
  <si>
    <t>BBD</t>
  </si>
  <si>
    <t>Dólar de Barbados</t>
  </si>
  <si>
    <t>dólar de Belice</t>
  </si>
  <si>
    <t>21</t>
  </si>
  <si>
    <t>BZD</t>
  </si>
  <si>
    <t>Dólar de Belice</t>
  </si>
  <si>
    <t>franco</t>
  </si>
  <si>
    <t>22</t>
  </si>
  <si>
    <t>BEF</t>
  </si>
  <si>
    <t>Franco Belga</t>
  </si>
  <si>
    <t>dólar de Bermudas</t>
  </si>
  <si>
    <t>23</t>
  </si>
  <si>
    <t>BMD</t>
  </si>
  <si>
    <t>Dólar de Bermudas</t>
  </si>
  <si>
    <t>rublo bielorruso</t>
  </si>
  <si>
    <t>24</t>
  </si>
  <si>
    <t>BYR</t>
  </si>
  <si>
    <t>Rublo de Bielorrusia</t>
  </si>
  <si>
    <t>kyat - Myanmar</t>
  </si>
  <si>
    <t>25</t>
  </si>
  <si>
    <t>MMK</t>
  </si>
  <si>
    <t>Kyat de Myanmar (Birmania)</t>
  </si>
  <si>
    <t>boliviano</t>
  </si>
  <si>
    <t>26</t>
  </si>
  <si>
    <t>BOB</t>
  </si>
  <si>
    <t>Boliviano de Bolivia</t>
  </si>
  <si>
    <t>marco bosnio</t>
  </si>
  <si>
    <t>27</t>
  </si>
  <si>
    <t>BAD</t>
  </si>
  <si>
    <t>Dinar de Bosnia-Herzogovinia</t>
  </si>
  <si>
    <t>pula</t>
  </si>
  <si>
    <t>28</t>
  </si>
  <si>
    <t>BWP</t>
  </si>
  <si>
    <t>Pula de Botswana</t>
  </si>
  <si>
    <t>real</t>
  </si>
  <si>
    <t>29</t>
  </si>
  <si>
    <t>BRL</t>
  </si>
  <si>
    <t>Real de Brasil</t>
  </si>
  <si>
    <t>dólar de Brunéi</t>
  </si>
  <si>
    <t>30</t>
  </si>
  <si>
    <t>BND</t>
  </si>
  <si>
    <t>Dólar de Brunei</t>
  </si>
  <si>
    <t>dólar singapurense</t>
  </si>
  <si>
    <t>31</t>
  </si>
  <si>
    <t>SGD</t>
  </si>
  <si>
    <t>Dólar de Singapur</t>
  </si>
  <si>
    <t>lev</t>
  </si>
  <si>
    <t>32</t>
  </si>
  <si>
    <t>BGL</t>
  </si>
  <si>
    <t>Lev Búlgaro</t>
  </si>
  <si>
    <t>33</t>
  </si>
  <si>
    <t>FRF</t>
  </si>
  <si>
    <t>Franco Francés</t>
  </si>
  <si>
    <t>franco de Burundi</t>
  </si>
  <si>
    <t>34</t>
  </si>
  <si>
    <t>BIF</t>
  </si>
  <si>
    <t>Franco de Burundi</t>
  </si>
  <si>
    <t>ngultrum - Bután</t>
  </si>
  <si>
    <t>35</t>
  </si>
  <si>
    <t>BTN</t>
  </si>
  <si>
    <t>Ngultrum de Bután</t>
  </si>
  <si>
    <t>rupia india</t>
  </si>
  <si>
    <t>36</t>
  </si>
  <si>
    <t>INR</t>
  </si>
  <si>
    <t>Rupia India</t>
  </si>
  <si>
    <t>escudo de Cabo Verde</t>
  </si>
  <si>
    <t>37</t>
  </si>
  <si>
    <t>CVE</t>
  </si>
  <si>
    <t>Escudo de Cabo Verde</t>
  </si>
  <si>
    <t>riel</t>
  </si>
  <si>
    <t>38</t>
  </si>
  <si>
    <t>KHR</t>
  </si>
  <si>
    <t>Riel de Camboya</t>
  </si>
  <si>
    <t>39</t>
  </si>
  <si>
    <t>LUF</t>
  </si>
  <si>
    <t>Franco de Luxemburgo</t>
  </si>
  <si>
    <t>dólar canadiense</t>
  </si>
  <si>
    <t>40</t>
  </si>
  <si>
    <t>CAD</t>
  </si>
  <si>
    <t>Dólar Canadiense</t>
  </si>
  <si>
    <t>corona checa</t>
  </si>
  <si>
    <t>42</t>
  </si>
  <si>
    <t>CZK</t>
  </si>
  <si>
    <t>Corona Checa</t>
  </si>
  <si>
    <t>peso chileno</t>
  </si>
  <si>
    <t>43</t>
  </si>
  <si>
    <t>CLP</t>
  </si>
  <si>
    <t>Peso Chileno</t>
  </si>
  <si>
    <t>yuan renminbi</t>
  </si>
  <si>
    <t>44</t>
  </si>
  <si>
    <t>RMB</t>
  </si>
  <si>
    <t>Remnminbi Yuan de China</t>
  </si>
  <si>
    <t>libra chipriota</t>
  </si>
  <si>
    <t>45</t>
  </si>
  <si>
    <t>CYP</t>
  </si>
  <si>
    <t>Libra de Chipre</t>
  </si>
  <si>
    <t>shequel</t>
  </si>
  <si>
    <t>46</t>
  </si>
  <si>
    <t>ILS</t>
  </si>
  <si>
    <t>Scheckel Israelí</t>
  </si>
  <si>
    <t>peso colombiano</t>
  </si>
  <si>
    <t>47</t>
  </si>
  <si>
    <t>COP</t>
  </si>
  <si>
    <t>Peso de Colombia</t>
  </si>
  <si>
    <t>franco comorano</t>
  </si>
  <si>
    <t>48</t>
  </si>
  <si>
    <t>KMF</t>
  </si>
  <si>
    <t>Franco de Comoros</t>
  </si>
  <si>
    <t>49</t>
  </si>
  <si>
    <t>Franco</t>
  </si>
  <si>
    <t>won norcoreano</t>
  </si>
  <si>
    <t>50</t>
  </si>
  <si>
    <t>KPW</t>
  </si>
  <si>
    <t>Won de Corea del Norte</t>
  </si>
  <si>
    <t>won surcoreano</t>
  </si>
  <si>
    <t>51</t>
  </si>
  <si>
    <t>KRW</t>
  </si>
  <si>
    <t>Won de Corea del Sur</t>
  </si>
  <si>
    <t>52</t>
  </si>
  <si>
    <t>XAF</t>
  </si>
  <si>
    <t>Franco de Gabón</t>
  </si>
  <si>
    <t>kuna - Croacia</t>
  </si>
  <si>
    <t>53</t>
  </si>
  <si>
    <t>HRD</t>
  </si>
  <si>
    <t>Dinar de Croacia</t>
  </si>
  <si>
    <t>peso cubano</t>
  </si>
  <si>
    <t>54</t>
  </si>
  <si>
    <t>CUP</t>
  </si>
  <si>
    <t>Peso Cubano</t>
  </si>
  <si>
    <t>corona danesa</t>
  </si>
  <si>
    <t>55</t>
  </si>
  <si>
    <t>DKK</t>
  </si>
  <si>
    <t>Corona Danesa</t>
  </si>
  <si>
    <t>libra egipcia</t>
  </si>
  <si>
    <t>56</t>
  </si>
  <si>
    <t>EGP</t>
  </si>
  <si>
    <t>Libra Egipcia</t>
  </si>
  <si>
    <t>dirham</t>
  </si>
  <si>
    <t>58</t>
  </si>
  <si>
    <t>AED</t>
  </si>
  <si>
    <t>Dirham de los Emiratos Árabes Unidos</t>
  </si>
  <si>
    <t>nakfa - Eritrea</t>
  </si>
  <si>
    <t>59</t>
  </si>
  <si>
    <t>ERN</t>
  </si>
  <si>
    <t>Nakfa eritreo</t>
  </si>
  <si>
    <t>corona eslovaca</t>
  </si>
  <si>
    <t>60</t>
  </si>
  <si>
    <t>SKK</t>
  </si>
  <si>
    <t>Corona Eslovaca</t>
  </si>
  <si>
    <t>tólar</t>
  </si>
  <si>
    <t>61</t>
  </si>
  <si>
    <t>SIT</t>
  </si>
  <si>
    <t>Tólar de Eslovenia</t>
  </si>
  <si>
    <t>corona estonia</t>
  </si>
  <si>
    <t>62</t>
  </si>
  <si>
    <t>EEK</t>
  </si>
  <si>
    <t>Corona de Estonia</t>
  </si>
  <si>
    <t>birr</t>
  </si>
  <si>
    <t>63</t>
  </si>
  <si>
    <t>ETB</t>
  </si>
  <si>
    <t>Birr de Etiopía</t>
  </si>
  <si>
    <t>dólares de las islas Fiji</t>
  </si>
  <si>
    <t>64</t>
  </si>
  <si>
    <t>FJD</t>
  </si>
  <si>
    <t>Dólar de Fiji</t>
  </si>
  <si>
    <t>peso filipino</t>
  </si>
  <si>
    <t>65</t>
  </si>
  <si>
    <t>PHP</t>
  </si>
  <si>
    <t>Peso Filipino</t>
  </si>
  <si>
    <t>66</t>
  </si>
  <si>
    <t>XOF</t>
  </si>
  <si>
    <t>Franco de Benin (C.f.A.)</t>
  </si>
  <si>
    <t>dalasi</t>
  </si>
  <si>
    <t>67</t>
  </si>
  <si>
    <t>GMD</t>
  </si>
  <si>
    <t>Dalasi de Gambia</t>
  </si>
  <si>
    <t>lari - Georgia</t>
  </si>
  <si>
    <t>68</t>
  </si>
  <si>
    <t>GEK</t>
  </si>
  <si>
    <t>Kupon de Georgia</t>
  </si>
  <si>
    <t>cedi</t>
  </si>
  <si>
    <t>69</t>
  </si>
  <si>
    <t>GHC</t>
  </si>
  <si>
    <t>Cedi de Ghana</t>
  </si>
  <si>
    <t>libra de Gibraltar</t>
  </si>
  <si>
    <t>70</t>
  </si>
  <si>
    <t>GIP</t>
  </si>
  <si>
    <t>Libra de Gibraltar</t>
  </si>
  <si>
    <t>quetzal</t>
  </si>
  <si>
    <t>71</t>
  </si>
  <si>
    <t>GTQ</t>
  </si>
  <si>
    <t>Quetzal de Guatemala</t>
  </si>
  <si>
    <t>franco guineo</t>
  </si>
  <si>
    <t>72</t>
  </si>
  <si>
    <t>GNF</t>
  </si>
  <si>
    <t>Franco de Guinea</t>
  </si>
  <si>
    <t>73</t>
  </si>
  <si>
    <t>74</t>
  </si>
  <si>
    <t>dólar de Guayana</t>
  </si>
  <si>
    <t>75</t>
  </si>
  <si>
    <t>GYD</t>
  </si>
  <si>
    <t>Dólar Guayanés</t>
  </si>
  <si>
    <t>gourdegurda</t>
  </si>
  <si>
    <t>76</t>
  </si>
  <si>
    <t>HTG</t>
  </si>
  <si>
    <t>Gourde de Haití</t>
  </si>
  <si>
    <t>lempira</t>
  </si>
  <si>
    <t>77</t>
  </si>
  <si>
    <t>HNL</t>
  </si>
  <si>
    <t>Lempira de Honduras</t>
  </si>
  <si>
    <t>dólar deHongKong</t>
  </si>
  <si>
    <t>78</t>
  </si>
  <si>
    <t>HKD</t>
  </si>
  <si>
    <t>Dólar de Hong Kong</t>
  </si>
  <si>
    <t>forint</t>
  </si>
  <si>
    <t>79</t>
  </si>
  <si>
    <t>HUF</t>
  </si>
  <si>
    <t>Forint húngaro</t>
  </si>
  <si>
    <t>80</t>
  </si>
  <si>
    <t>rupia indonesia</t>
  </si>
  <si>
    <t>81</t>
  </si>
  <si>
    <t>IDR</t>
  </si>
  <si>
    <t>Rupia Indonesia</t>
  </si>
  <si>
    <t>rial iraní</t>
  </si>
  <si>
    <t>82</t>
  </si>
  <si>
    <t>IRR</t>
  </si>
  <si>
    <t>Rial Iraní</t>
  </si>
  <si>
    <t>dinar iraquí</t>
  </si>
  <si>
    <t>83</t>
  </si>
  <si>
    <t>IQD</t>
  </si>
  <si>
    <t>Dinar Iraquí</t>
  </si>
  <si>
    <t>corona islandesa</t>
  </si>
  <si>
    <t>84</t>
  </si>
  <si>
    <t>ISK</t>
  </si>
  <si>
    <t>Corona Islandesa</t>
  </si>
  <si>
    <t>dólar de la isla Caimán</t>
  </si>
  <si>
    <t>85</t>
  </si>
  <si>
    <t>KYD</t>
  </si>
  <si>
    <t>Dólar de las Caimán</t>
  </si>
  <si>
    <t>dólar neozelandés</t>
  </si>
  <si>
    <t>86</t>
  </si>
  <si>
    <t>NZD</t>
  </si>
  <si>
    <t>Dólar de Nueva Zelanda</t>
  </si>
  <si>
    <t>libra esterlina</t>
  </si>
  <si>
    <t>87</t>
  </si>
  <si>
    <t>GBP</t>
  </si>
  <si>
    <t>Libra Británica</t>
  </si>
  <si>
    <t>dólar de las Islas Salomón</t>
  </si>
  <si>
    <t>88</t>
  </si>
  <si>
    <t>SBD</t>
  </si>
  <si>
    <t>Dólar de las Islas Salomón</t>
  </si>
  <si>
    <t>shequel (plural sheqalim)</t>
  </si>
  <si>
    <t>89</t>
  </si>
  <si>
    <t>dólar de Jamaica</t>
  </si>
  <si>
    <t>90</t>
  </si>
  <si>
    <t>JMD</t>
  </si>
  <si>
    <t>Dólar de Jamaica</t>
  </si>
  <si>
    <t>yen</t>
  </si>
  <si>
    <t>91</t>
  </si>
  <si>
    <t>JPY</t>
  </si>
  <si>
    <t>Yen Japonés</t>
  </si>
  <si>
    <t>dinar jordano</t>
  </si>
  <si>
    <t>92</t>
  </si>
  <si>
    <t>JOD</t>
  </si>
  <si>
    <t>Dinar de Jordania</t>
  </si>
  <si>
    <t>tenge</t>
  </si>
  <si>
    <t>93</t>
  </si>
  <si>
    <t>KZT</t>
  </si>
  <si>
    <t>Tenge de Kazakhstán</t>
  </si>
  <si>
    <t>chelín keniano</t>
  </si>
  <si>
    <t>94</t>
  </si>
  <si>
    <t>KES</t>
  </si>
  <si>
    <t>Chelín de Kenya</t>
  </si>
  <si>
    <t>som</t>
  </si>
  <si>
    <t>95</t>
  </si>
  <si>
    <t>KIS</t>
  </si>
  <si>
    <t>Som de Kirghizstan</t>
  </si>
  <si>
    <t>dinar kuwaití</t>
  </si>
  <si>
    <t>96</t>
  </si>
  <si>
    <t>KWD</t>
  </si>
  <si>
    <t>Dinar de Kuwait</t>
  </si>
  <si>
    <t>kip</t>
  </si>
  <si>
    <t>97</t>
  </si>
  <si>
    <t>LAK</t>
  </si>
  <si>
    <t>Kip de Letonia</t>
  </si>
  <si>
    <t>loti (plural maloti)</t>
  </si>
  <si>
    <t>98</t>
  </si>
  <si>
    <t>LSL</t>
  </si>
  <si>
    <t>Loti de Lesotho</t>
  </si>
  <si>
    <t>lats (plural lati)</t>
  </si>
  <si>
    <t>99</t>
  </si>
  <si>
    <t>LVL</t>
  </si>
  <si>
    <t>Lat Latonia</t>
  </si>
  <si>
    <t>libra libanesa</t>
  </si>
  <si>
    <t>100</t>
  </si>
  <si>
    <t>LBP</t>
  </si>
  <si>
    <t>Libra Libanesa</t>
  </si>
  <si>
    <t>dólar liberiano</t>
  </si>
  <si>
    <t>101</t>
  </si>
  <si>
    <t>LRD</t>
  </si>
  <si>
    <t>Dólar de Liberia</t>
  </si>
  <si>
    <t>dinar libio</t>
  </si>
  <si>
    <t>102</t>
  </si>
  <si>
    <t>LYD</t>
  </si>
  <si>
    <t>Dinar Libio</t>
  </si>
  <si>
    <t>franco suizo</t>
  </si>
  <si>
    <t>103</t>
  </si>
  <si>
    <t>CHF</t>
  </si>
  <si>
    <t>Franco Suizo</t>
  </si>
  <si>
    <t>litas (plural litai)</t>
  </si>
  <si>
    <t>104</t>
  </si>
  <si>
    <t>LTL</t>
  </si>
  <si>
    <t>Lita de Lituania</t>
  </si>
  <si>
    <t>pataca</t>
  </si>
  <si>
    <t>105</t>
  </si>
  <si>
    <t>MOP</t>
  </si>
  <si>
    <t>Pataca de Macao</t>
  </si>
  <si>
    <t>denar</t>
  </si>
  <si>
    <t>106</t>
  </si>
  <si>
    <t>MKD</t>
  </si>
  <si>
    <t>Denar macedonio</t>
  </si>
  <si>
    <t>franco malgache - Madagascar</t>
  </si>
  <si>
    <t>107</t>
  </si>
  <si>
    <t>MGF</t>
  </si>
  <si>
    <t>Franco Malgache - Madagascar</t>
  </si>
  <si>
    <t>ringgit</t>
  </si>
  <si>
    <t>108</t>
  </si>
  <si>
    <t>MYR</t>
  </si>
  <si>
    <t>Ringgit de Malasia</t>
  </si>
  <si>
    <t>kwacha de Malaui</t>
  </si>
  <si>
    <t>109</t>
  </si>
  <si>
    <t>MWK</t>
  </si>
  <si>
    <t>Kwacha de Malawi</t>
  </si>
  <si>
    <t>rupia de Maldivas (o rufiyaa)</t>
  </si>
  <si>
    <t>110</t>
  </si>
  <si>
    <t>MVR</t>
  </si>
  <si>
    <t>Rupia de Maldivas</t>
  </si>
  <si>
    <t>111</t>
  </si>
  <si>
    <t>lira maltesa</t>
  </si>
  <si>
    <t>112</t>
  </si>
  <si>
    <t>MTL</t>
  </si>
  <si>
    <t>Lira de Malta</t>
  </si>
  <si>
    <t>dirham marroquí</t>
  </si>
  <si>
    <t>113</t>
  </si>
  <si>
    <t>MAD</t>
  </si>
  <si>
    <t>Dirham Marroquí</t>
  </si>
  <si>
    <t>rupia mauriciana</t>
  </si>
  <si>
    <t>114</t>
  </si>
  <si>
    <t>MUR</t>
  </si>
  <si>
    <t>Rupia de "Mauritius"</t>
  </si>
  <si>
    <t>ouguiya</t>
  </si>
  <si>
    <t>115</t>
  </si>
  <si>
    <t>MRO</t>
  </si>
  <si>
    <t>Ouguiya de Mauritania</t>
  </si>
  <si>
    <t>peso mexicano</t>
  </si>
  <si>
    <t>116</t>
  </si>
  <si>
    <t>MXN</t>
  </si>
  <si>
    <t>Nuevo Peso Mexicano</t>
  </si>
  <si>
    <t>leu moldavo (plural lei)</t>
  </si>
  <si>
    <t>117</t>
  </si>
  <si>
    <t>MDL</t>
  </si>
  <si>
    <t>Lei de Moldavia</t>
  </si>
  <si>
    <t>tugrik</t>
  </si>
  <si>
    <t>118</t>
  </si>
  <si>
    <t>MNT</t>
  </si>
  <si>
    <t>Tugrik de Mongolia</t>
  </si>
  <si>
    <t>metical</t>
  </si>
  <si>
    <t>119</t>
  </si>
  <si>
    <t>MZM</t>
  </si>
  <si>
    <t>Metical de Mozambique</t>
  </si>
  <si>
    <t>rand sudafricanodólar de Nambia</t>
  </si>
  <si>
    <t>120</t>
  </si>
  <si>
    <t>ZAR</t>
  </si>
  <si>
    <t>Rand de Sur África</t>
  </si>
  <si>
    <t>rupia nepalesa</t>
  </si>
  <si>
    <t>121</t>
  </si>
  <si>
    <t>NPR</t>
  </si>
  <si>
    <t>Rupia de Nepal</t>
  </si>
  <si>
    <t>córdoba</t>
  </si>
  <si>
    <t>122</t>
  </si>
  <si>
    <t>NIO</t>
  </si>
  <si>
    <t>Córdoba de Nicaragua</t>
  </si>
  <si>
    <t>123</t>
  </si>
  <si>
    <t>naira</t>
  </si>
  <si>
    <t>124</t>
  </si>
  <si>
    <t>NGN</t>
  </si>
  <si>
    <t>Naira de Nigeria</t>
  </si>
  <si>
    <t>corona noruega</t>
  </si>
  <si>
    <t>125</t>
  </si>
  <si>
    <t>NOK</t>
  </si>
  <si>
    <t>Corona Noruega</t>
  </si>
  <si>
    <t>126</t>
  </si>
  <si>
    <t>127</t>
  </si>
  <si>
    <t>rial omaní</t>
  </si>
  <si>
    <t>128</t>
  </si>
  <si>
    <t>OMR</t>
  </si>
  <si>
    <t>Rial de Omán</t>
  </si>
  <si>
    <t>rupia paquistaní</t>
  </si>
  <si>
    <t>129</t>
  </si>
  <si>
    <t>PKR</t>
  </si>
  <si>
    <t>Rupia de Pakistán</t>
  </si>
  <si>
    <t>balboa</t>
  </si>
  <si>
    <t>130</t>
  </si>
  <si>
    <t>PAB</t>
  </si>
  <si>
    <t>Balboa de Panamá</t>
  </si>
  <si>
    <t>kina</t>
  </si>
  <si>
    <t>131</t>
  </si>
  <si>
    <t>PGK</t>
  </si>
  <si>
    <t>Kina de Papua Nueva Guinea</t>
  </si>
  <si>
    <t>guaraní</t>
  </si>
  <si>
    <t>132</t>
  </si>
  <si>
    <t>PYG</t>
  </si>
  <si>
    <t>Guaraní de Paraguay</t>
  </si>
  <si>
    <t>nuevo sol</t>
  </si>
  <si>
    <t>133</t>
  </si>
  <si>
    <t>PEN</t>
  </si>
  <si>
    <t>Nuevo Sol de Perú</t>
  </si>
  <si>
    <t>134</t>
  </si>
  <si>
    <t>zloty</t>
  </si>
  <si>
    <t>135</t>
  </si>
  <si>
    <t>PLN</t>
  </si>
  <si>
    <t>Zloty de Polonia</t>
  </si>
  <si>
    <t>rial (o riyal) de Qatar</t>
  </si>
  <si>
    <t>136</t>
  </si>
  <si>
    <t>QAR</t>
  </si>
  <si>
    <t>Riyal de Qatar</t>
  </si>
  <si>
    <t>137</t>
  </si>
  <si>
    <t>franco congoleño</t>
  </si>
  <si>
    <t>138</t>
  </si>
  <si>
    <t>CDF</t>
  </si>
  <si>
    <t>Franco Congoleño</t>
  </si>
  <si>
    <t>peso dominicano</t>
  </si>
  <si>
    <t>139</t>
  </si>
  <si>
    <t>DOP</t>
  </si>
  <si>
    <t>Peso Dominicano</t>
  </si>
  <si>
    <t>franco ruandés</t>
  </si>
  <si>
    <t>140</t>
  </si>
  <si>
    <t>RWF</t>
  </si>
  <si>
    <t>Franco de Rwanda</t>
  </si>
  <si>
    <t>leu rumano (plura lei)</t>
  </si>
  <si>
    <t>141</t>
  </si>
  <si>
    <t>ROL</t>
  </si>
  <si>
    <t>Lei de Rumania</t>
  </si>
  <si>
    <t>rublo ruso</t>
  </si>
  <si>
    <t>142</t>
  </si>
  <si>
    <t>RUR</t>
  </si>
  <si>
    <t>Rublo ruso</t>
  </si>
  <si>
    <t>dirham marroqui</t>
  </si>
  <si>
    <t>143</t>
  </si>
  <si>
    <t>tala</t>
  </si>
  <si>
    <t>144</t>
  </si>
  <si>
    <t>WST</t>
  </si>
  <si>
    <t>Tala de Samoa</t>
  </si>
  <si>
    <t>dobra</t>
  </si>
  <si>
    <t>145</t>
  </si>
  <si>
    <t>STD</t>
  </si>
  <si>
    <t>Sao Tome / Príncipe Dobra</t>
  </si>
  <si>
    <t>146</t>
  </si>
  <si>
    <t>Serbia-/dinar</t>
  </si>
  <si>
    <t>147</t>
  </si>
  <si>
    <t>CSD</t>
  </si>
  <si>
    <t>Dinar Serbio</t>
  </si>
  <si>
    <t>Montenegro/ euro</t>
  </si>
  <si>
    <t>148</t>
  </si>
  <si>
    <t>YUM</t>
  </si>
  <si>
    <t>rupia de Seychelles</t>
  </si>
  <si>
    <t>149</t>
  </si>
  <si>
    <t>SCR</t>
  </si>
  <si>
    <t>Rupias de Seychelles</t>
  </si>
  <si>
    <t>leone</t>
  </si>
  <si>
    <t>150</t>
  </si>
  <si>
    <t>SLL</t>
  </si>
  <si>
    <t>Sierra León</t>
  </si>
  <si>
    <t>libra siria</t>
  </si>
  <si>
    <t>151</t>
  </si>
  <si>
    <t>SYP</t>
  </si>
  <si>
    <t>libra de Siria</t>
  </si>
  <si>
    <t>chelín somalí</t>
  </si>
  <si>
    <t>152</t>
  </si>
  <si>
    <t>SOS</t>
  </si>
  <si>
    <t>Chellín de Somalia</t>
  </si>
  <si>
    <t>rupia de Sri Lanka</t>
  </si>
  <si>
    <t>153</t>
  </si>
  <si>
    <t>LKR</t>
  </si>
  <si>
    <t>Rupia de Sri Lanka</t>
  </si>
  <si>
    <t>lilangeni (plural emalengeni)</t>
  </si>
  <si>
    <t>154</t>
  </si>
  <si>
    <t>SZL</t>
  </si>
  <si>
    <t>Lilangeni de Swaziland</t>
  </si>
  <si>
    <t>libra sudanesa</t>
  </si>
  <si>
    <t>155</t>
  </si>
  <si>
    <t>SDP</t>
  </si>
  <si>
    <t>Libra de Sudán</t>
  </si>
  <si>
    <t>corona sueca</t>
  </si>
  <si>
    <t>156</t>
  </si>
  <si>
    <t>SEK</t>
  </si>
  <si>
    <t>Corona Sueca</t>
  </si>
  <si>
    <t>rand</t>
  </si>
  <si>
    <t>157</t>
  </si>
  <si>
    <t>florín surinamés</t>
  </si>
  <si>
    <t>158</t>
  </si>
  <si>
    <t>SRG</t>
  </si>
  <si>
    <t>Guilder de Surinam</t>
  </si>
  <si>
    <t>baht</t>
  </si>
  <si>
    <t>159</t>
  </si>
  <si>
    <t>THB</t>
  </si>
  <si>
    <t>Baht de Tailandia</t>
  </si>
  <si>
    <t>nuevo dólar de Taiwán</t>
  </si>
  <si>
    <t>160</t>
  </si>
  <si>
    <t>TWD</t>
  </si>
  <si>
    <t>Dólar de Nuevo Taiwán</t>
  </si>
  <si>
    <t>chelín tanzano</t>
  </si>
  <si>
    <t>161</t>
  </si>
  <si>
    <t>TZS</t>
  </si>
  <si>
    <t>Chellín de Tanzania</t>
  </si>
  <si>
    <t>somoni</t>
  </si>
  <si>
    <t>162</t>
  </si>
  <si>
    <t>TJS</t>
  </si>
  <si>
    <t>Somoni de Tadyikistán</t>
  </si>
  <si>
    <t>163</t>
  </si>
  <si>
    <t>pa'anga</t>
  </si>
  <si>
    <t>164</t>
  </si>
  <si>
    <t>TOP</t>
  </si>
  <si>
    <t>Pa'anga de Tonga</t>
  </si>
  <si>
    <t>dólar de Trinidad y Tobago</t>
  </si>
  <si>
    <t>165</t>
  </si>
  <si>
    <t>TTD</t>
  </si>
  <si>
    <t>Dólar de Trinidad y Tobago</t>
  </si>
  <si>
    <t>dinar tunecino</t>
  </si>
  <si>
    <t>166</t>
  </si>
  <si>
    <t>TND</t>
  </si>
  <si>
    <t>Dinar de Tunícia</t>
  </si>
  <si>
    <t>manat turcomano</t>
  </si>
  <si>
    <t>167</t>
  </si>
  <si>
    <t>TMM</t>
  </si>
  <si>
    <t>Manat de Turkmenistán</t>
  </si>
  <si>
    <t>lira turca</t>
  </si>
  <si>
    <t>168</t>
  </si>
  <si>
    <t>TRL</t>
  </si>
  <si>
    <t>Lira de Turquía</t>
  </si>
  <si>
    <t>jrivnia - ucrania</t>
  </si>
  <si>
    <t>169</t>
  </si>
  <si>
    <t>UAH</t>
  </si>
  <si>
    <t>Jrivnia de Ucrania</t>
  </si>
  <si>
    <t>chelín ugandés</t>
  </si>
  <si>
    <t>170</t>
  </si>
  <si>
    <t>UGS</t>
  </si>
  <si>
    <t>Chellín de Uganda</t>
  </si>
  <si>
    <t>peso uruguayo</t>
  </si>
  <si>
    <t>171</t>
  </si>
  <si>
    <t>UYP</t>
  </si>
  <si>
    <t>Nuevo Peso de Uruguay</t>
  </si>
  <si>
    <t>sum</t>
  </si>
  <si>
    <t>172</t>
  </si>
  <si>
    <t>UZS</t>
  </si>
  <si>
    <t>Sum de Uzbekistán</t>
  </si>
  <si>
    <t>vatu</t>
  </si>
  <si>
    <t>173</t>
  </si>
  <si>
    <t>VUV</t>
  </si>
  <si>
    <t>Vatu de Vanuatu</t>
  </si>
  <si>
    <t>bolívar</t>
  </si>
  <si>
    <t>174</t>
  </si>
  <si>
    <t>VEB</t>
  </si>
  <si>
    <t>Bolívar de Venezuela</t>
  </si>
  <si>
    <t>dong</t>
  </si>
  <si>
    <t>175</t>
  </si>
  <si>
    <t>VND</t>
  </si>
  <si>
    <t>Viet Nam Dong</t>
  </si>
  <si>
    <t>176</t>
  </si>
  <si>
    <t>rial yemení</t>
  </si>
  <si>
    <t>177</t>
  </si>
  <si>
    <t>YER</t>
  </si>
  <si>
    <t>Ryal de Yemen</t>
  </si>
  <si>
    <t>franco de Yibuti</t>
  </si>
  <si>
    <t>178</t>
  </si>
  <si>
    <t>DJF</t>
  </si>
  <si>
    <t>Franco de Djibouti</t>
  </si>
  <si>
    <t>dinar yugoslavo</t>
  </si>
  <si>
    <t>179</t>
  </si>
  <si>
    <t>YUD</t>
  </si>
  <si>
    <t>Nuevo dinar yugoslavo</t>
  </si>
  <si>
    <t>Kwacha zambiano</t>
  </si>
  <si>
    <t>180</t>
  </si>
  <si>
    <t>ZMK</t>
  </si>
  <si>
    <t>Kwacha de Zambia</t>
  </si>
  <si>
    <t>dólar de Zimbabue</t>
  </si>
  <si>
    <t>181</t>
  </si>
  <si>
    <t>ZWD</t>
  </si>
  <si>
    <t>Dólar de Zimbawe</t>
  </si>
  <si>
    <t>colones contratados en UDES</t>
  </si>
  <si>
    <t>204</t>
  </si>
  <si>
    <t>Marco Alemán</t>
  </si>
  <si>
    <t>901</t>
  </si>
  <si>
    <t>DE</t>
  </si>
  <si>
    <t>NACIONAL</t>
  </si>
  <si>
    <t>998</t>
  </si>
  <si>
    <t>Nacional</t>
  </si>
  <si>
    <t>EXTRANJERA</t>
  </si>
  <si>
    <t>999</t>
  </si>
  <si>
    <t>Extranjera</t>
  </si>
  <si>
    <t>Nombre de la tabla: Tipo_Colateral_Real</t>
  </si>
  <si>
    <t>Código</t>
  </si>
  <si>
    <t>TIPO DE COLATERAL</t>
  </si>
  <si>
    <r>
      <t>PORCENTAJE DE RECUPERACIÓN</t>
    </r>
    <r>
      <rPr>
        <sz val="11"/>
        <color rgb="FFFFFFFF"/>
        <rFont val="Cambria"/>
        <family val="1"/>
      </rPr>
      <t> </t>
    </r>
  </si>
  <si>
    <t>factor_descuento   1/*</t>
  </si>
  <si>
    <r>
      <t>Alhajas y joyas</t>
    </r>
    <r>
      <rPr>
        <sz val="11"/>
        <color rgb="FF000000"/>
        <rFont val="Cambria"/>
        <family val="1"/>
      </rPr>
      <t> </t>
    </r>
  </si>
  <si>
    <t>90% </t>
  </si>
  <si>
    <t>0.05 </t>
  </si>
  <si>
    <r>
      <t>Inmuebles (Terreno y edificaciones)</t>
    </r>
    <r>
      <rPr>
        <sz val="11"/>
        <color rgb="FF000000"/>
        <rFont val="Cambria"/>
        <family val="1"/>
      </rPr>
      <t> </t>
    </r>
  </si>
  <si>
    <t>70% </t>
  </si>
  <si>
    <t>0.15 </t>
  </si>
  <si>
    <r>
      <t>Vehículos particulares</t>
    </r>
    <r>
      <rPr>
        <sz val="11"/>
        <color rgb="FF000000"/>
        <rFont val="Cambria"/>
        <family val="1"/>
      </rPr>
      <t> </t>
    </r>
  </si>
  <si>
    <t>60% </t>
  </si>
  <si>
    <t>0.30 </t>
  </si>
  <si>
    <r>
      <t>Maquinaria y equipo</t>
    </r>
    <r>
      <rPr>
        <sz val="11"/>
        <color rgb="FF000000"/>
        <rFont val="Cambria"/>
        <family val="1"/>
      </rPr>
      <t> </t>
    </r>
  </si>
  <si>
    <t>50% </t>
  </si>
  <si>
    <r>
      <t>Otros</t>
    </r>
    <r>
      <rPr>
        <sz val="11"/>
        <color rgb="FF000000"/>
        <rFont val="Cambria"/>
        <family val="1"/>
      </rPr>
      <t> </t>
    </r>
  </si>
  <si>
    <t>40% </t>
  </si>
  <si>
    <t>0.40 </t>
  </si>
  <si>
    <t>Nombre de la tabla: Tipo_Colateral_Financiero</t>
  </si>
  <si>
    <t>Clasificación del instrumento</t>
  </si>
  <si>
    <t>Colateral  Financiero </t>
  </si>
  <si>
    <r>
      <t>Factor Único</t>
    </r>
    <r>
      <rPr>
        <sz val="11"/>
        <color rgb="FFFFFFFF"/>
        <rFont val="Cambria"/>
        <family val="1"/>
      </rPr>
      <t> </t>
    </r>
  </si>
  <si>
    <t>Categoría 3 O mejor </t>
  </si>
  <si>
    <t>Categoría 4 </t>
  </si>
  <si>
    <t>Categoría 5 </t>
  </si>
  <si>
    <t>Categoría 6 </t>
  </si>
  <si>
    <t>y otros derechos de cobro</t>
  </si>
  <si>
    <t xml:space="preserve">(AAA A BBB-) </t>
  </si>
  <si>
    <t xml:space="preserve">(BB+ A BB-) </t>
  </si>
  <si>
    <t xml:space="preserve">(B+ A B-) </t>
  </si>
  <si>
    <t xml:space="preserve">(CCC O PEOR) </t>
  </si>
  <si>
    <t xml:space="preserve">
Efectivo.  Depósito en la misma entidad.
</t>
  </si>
  <si>
    <r>
      <t>0%</t>
    </r>
    <r>
      <rPr>
        <sz val="11"/>
        <color rgb="FF000000"/>
        <rFont val="Cambria"/>
        <family val="1"/>
      </rPr>
      <t> </t>
    </r>
  </si>
  <si>
    <r>
      <t>-</t>
    </r>
    <r>
      <rPr>
        <sz val="11"/>
        <color rgb="FF000000"/>
        <rFont val="Cambria"/>
        <family val="1"/>
      </rPr>
      <t> </t>
    </r>
  </si>
  <si>
    <t xml:space="preserve">
Instrumento de deuda. (Inscrito) 
</t>
  </si>
  <si>
    <r>
      <t>15%</t>
    </r>
    <r>
      <rPr>
        <sz val="11"/>
        <color rgb="FF000000"/>
        <rFont val="Cambria"/>
        <family val="1"/>
      </rPr>
      <t> </t>
    </r>
  </si>
  <si>
    <r>
      <t>20%</t>
    </r>
    <r>
      <rPr>
        <sz val="11"/>
        <color rgb="FF000000"/>
        <rFont val="Cambria"/>
        <family val="1"/>
      </rPr>
      <t> </t>
    </r>
  </si>
  <si>
    <r>
      <t>25%</t>
    </r>
    <r>
      <rPr>
        <sz val="11"/>
        <color rgb="FF000000"/>
        <rFont val="Cambria"/>
        <family val="1"/>
      </rPr>
      <t> </t>
    </r>
  </si>
  <si>
    <r>
      <t>100%</t>
    </r>
    <r>
      <rPr>
        <sz val="11"/>
        <color rgb="FF000000"/>
        <rFont val="Cambria"/>
        <family val="1"/>
      </rPr>
      <t> </t>
    </r>
  </si>
  <si>
    <t xml:space="preserve">
Instrumento de deuda  (GOCR, BCCR) 
</t>
  </si>
  <si>
    <t xml:space="preserve">
Instrumento de deuda. (Entidad supervisada por la SUGEF sin calificación pública otorgada por una agencia calificadora) 
</t>
  </si>
  <si>
    <r>
      <t>30%</t>
    </r>
    <r>
      <rPr>
        <sz val="11"/>
        <color rgb="FF000000"/>
        <rFont val="Cambria"/>
        <family val="1"/>
      </rPr>
      <t> </t>
    </r>
  </si>
  <si>
    <t xml:space="preserve">
Instrumento de capital debidamente inscrito en una bolsa de valores autorizada. 
</t>
  </si>
  <si>
    <r>
      <t>40%</t>
    </r>
    <r>
      <rPr>
        <sz val="11"/>
        <color rgb="FF000000"/>
        <rFont val="Cambria"/>
        <family val="1"/>
      </rPr>
      <t> </t>
    </r>
  </si>
  <si>
    <r>
      <t>50%</t>
    </r>
    <r>
      <rPr>
        <sz val="11"/>
        <color rgb="FF000000"/>
        <rFont val="Cambria"/>
        <family val="1"/>
      </rPr>
      <t> </t>
    </r>
  </si>
  <si>
    <t xml:space="preserve">
Participación en un fondo de inversión abierto debidamente inscrito en la plaza correspondiente. 
</t>
  </si>
  <si>
    <t xml:space="preserve">
Participación en un fondo de inversión cerrado debidamente inscrito en una bolsa de valores autorizada. 
</t>
  </si>
  <si>
    <t xml:space="preserve">
Factura con su respectiva cesión con recurso a favor de la entidad 
</t>
  </si>
  <si>
    <t xml:space="preserve">
Instrumento de capital no inscrito en una bolsa de valores 
</t>
  </si>
  <si>
    <t>IR A TABLAS</t>
  </si>
  <si>
    <t>Equivalencia Calificaciones Agencias Calificadoras</t>
  </si>
  <si>
    <t xml:space="preserve">Calificaciones De Largo Plazo: </t>
  </si>
  <si>
    <t>EMPRESA</t>
  </si>
  <si>
    <t>STANDARD &amp; POOR’S INTERNACIONAL</t>
  </si>
  <si>
    <t>MOODY ’S INTERNACIONAL</t>
  </si>
  <si>
    <t>FITCH INTERNACIONAL</t>
  </si>
  <si>
    <t>CALIFICADORA</t>
  </si>
  <si>
    <t>CÓDIGO DE EMPRESA CALIFICADORA</t>
  </si>
  <si>
    <t>CATEGORÍA DE RIESGO</t>
  </si>
  <si>
    <t>CATEGORÍA DE LA CALIFICACIÓN</t>
  </si>
  <si>
    <t>AAA</t>
  </si>
  <si>
    <t>Aaa</t>
  </si>
  <si>
    <t>AA+</t>
  </si>
  <si>
    <t>Aa1</t>
  </si>
  <si>
    <t>AA</t>
  </si>
  <si>
    <t>Aa2</t>
  </si>
  <si>
    <t>AA-</t>
  </si>
  <si>
    <t>Aa3</t>
  </si>
  <si>
    <t>A+</t>
  </si>
  <si>
    <t>A1</t>
  </si>
  <si>
    <t>A2</t>
  </si>
  <si>
    <t>A-</t>
  </si>
  <si>
    <t>A3</t>
  </si>
  <si>
    <t>BBB+</t>
  </si>
  <si>
    <t>Baa1</t>
  </si>
  <si>
    <t>BBB</t>
  </si>
  <si>
    <t>Baa2</t>
  </si>
  <si>
    <t>BBB-</t>
  </si>
  <si>
    <t>Baa3</t>
  </si>
  <si>
    <t>BB+</t>
  </si>
  <si>
    <t>Ba1</t>
  </si>
  <si>
    <t>BB</t>
  </si>
  <si>
    <t>Ba2</t>
  </si>
  <si>
    <t>BB-</t>
  </si>
  <si>
    <t>Ba3</t>
  </si>
  <si>
    <t>B+</t>
  </si>
  <si>
    <t>B1</t>
  </si>
  <si>
    <t>B2</t>
  </si>
  <si>
    <t>B-</t>
  </si>
  <si>
    <t>B3</t>
  </si>
  <si>
    <t>CCC (+ -) CC</t>
  </si>
  <si>
    <t xml:space="preserve">Caa (1, 2, 3) </t>
  </si>
  <si>
    <t>Ca (1, 2, 3)</t>
  </si>
  <si>
    <t>DDD; DD y D</t>
  </si>
  <si>
    <t xml:space="preserve">Calificaciones De Corto Plazo: </t>
  </si>
  <si>
    <t>A1+</t>
  </si>
  <si>
    <t xml:space="preserve">  F1+</t>
  </si>
  <si>
    <t>P1</t>
  </si>
  <si>
    <t>F1</t>
  </si>
  <si>
    <t>P2</t>
  </si>
  <si>
    <t>F2</t>
  </si>
  <si>
    <t>P3</t>
  </si>
  <si>
    <t>F3</t>
  </si>
  <si>
    <t xml:space="preserve">B </t>
  </si>
  <si>
    <t>No es permitido remitir datos para periodos anteriores a Enero 2024.</t>
  </si>
  <si>
    <t>No es permitido remitir datos para periodos anteriores a Enero 2024</t>
  </si>
  <si>
    <t xml:space="preserve"> Cuando el "TipoColateralReal" es  igual a "0" el valor del campo "Tiempo" debe ser UNO.</t>
  </si>
  <si>
    <t>El campo "TipoMonedaValorNominal" debe existir en la tabla "TIPO_MONEDA"</t>
  </si>
  <si>
    <t>nueva</t>
  </si>
  <si>
    <t>BLOQUE DE DATOS</t>
  </si>
  <si>
    <t>ARCHIVO DE INFORMACIÓN DE LA CLASE GARANTIAS</t>
  </si>
  <si>
    <t>CLASE DE DATOS DE LA INFORMACIÓN DE GARANTÍAS VERSIÓN 2.0</t>
  </si>
  <si>
    <t>GENERALIDADES.</t>
  </si>
  <si>
    <t>Esta clase de datos contiene los valores necesarios para realizar la carga completa de la información de diferentes tipos de garantías: fiduciarias, reales, valores, cartas de crédito, documentos que amparan las cartas de crédito de importación y documentos cedidos, Garantías Mobiliarias y Pólizas.</t>
  </si>
  <si>
    <t>El registro de los bienes dados en garantía debe hacerse de manera individualizada.</t>
  </si>
  <si>
    <t>Los archivos de esta clase de datos serán remitidos según los tipos de garantías que tiene la entidad.  Por tanto, se puede remitir de uno a más archivos en esta clase de datos</t>
  </si>
  <si>
    <t>Las entidades financieras deben reportar la información de las distintas garantías que se utilicen en las diferentes modalidades de operaciones que realicen y que se ajusten a los archivos de esta Clase de Datos.</t>
  </si>
  <si>
    <t>OTRAS CONSIDERACIONES:</t>
  </si>
  <si>
    <t>1. Para los efectos el Centro de Información Crediticia (CIC) debe reportarse la información de la totalidad de los fiadores sean estos  mitigadores o no.</t>
  </si>
  <si>
    <t>2. Reportar las acciones emitidas por la entidad y que a la vez son recibidas en garantía de sus operaciones crediticias directas e indirectas con personas deudoras, sean estas físicas o jurídicas, en el archivo de Garantías Valores.</t>
  </si>
  <si>
    <t>DEPENDENCIA DE DATOS</t>
  </si>
  <si>
    <t>Esta clase de datos tiene dependencia de datos, por lo que para su ingreso debe existir la carga exitosa de:</t>
  </si>
  <si>
    <t xml:space="preserve">1. Registro y Control </t>
  </si>
  <si>
    <t>2. Contable Financiero</t>
  </si>
  <si>
    <r>
      <t xml:space="preserve">En caso de monedas extranjeras, se ajustarán a las cotizaciones  informadas por el Banco Central de Costa Rica, utilizándose el tipo de cambio de venta </t>
    </r>
    <r>
      <rPr>
        <b/>
        <vertAlign val="superscript"/>
        <sz val="11"/>
        <rFont val="Cambria"/>
        <family val="1"/>
      </rPr>
      <t xml:space="preserve">1/ </t>
    </r>
    <r>
      <rPr>
        <sz val="11"/>
        <rFont val="Cambria"/>
        <family val="1"/>
      </rPr>
      <t>de referencia, al último día natural de cada mes en adelante “Tipo de Cambio de Referencia”.</t>
    </r>
  </si>
  <si>
    <t>En caso de Unidades de Desarrollo, se ajustarán al valor en colones, informado por el Banco Central de Costa Rica, al último día natural de cada mes.</t>
  </si>
  <si>
    <t>El corte de la información remitida en esta clase de datos debe corresponder al último día natural del mes del envío.</t>
  </si>
  <si>
    <r>
      <t xml:space="preserve"> </t>
    </r>
    <r>
      <rPr>
        <b/>
        <vertAlign val="superscript"/>
        <sz val="11"/>
        <rFont val="Cambria"/>
        <family val="1"/>
      </rPr>
      <t>1/</t>
    </r>
    <r>
      <rPr>
        <vertAlign val="superscript"/>
        <sz val="11"/>
        <rFont val="Cambria"/>
        <family val="1"/>
      </rPr>
      <t xml:space="preserve"> </t>
    </r>
    <r>
      <rPr>
        <sz val="11"/>
        <rFont val="Cambria"/>
        <family val="1"/>
      </rPr>
      <t xml:space="preserve"> A partir del 01 de enero de 2020, se utilizará el Tipo de Cambio de Venta, de acuerdo la modificación del artículo 12 del Acuerdo CONASSIF 6-18 - Reglamento de Información Financiera.  (anterior Acuerdo SUGEF 30-18).  </t>
    </r>
  </si>
  <si>
    <t>ESTRUCTURA  GENERAL DEL ARCHIVO SICVECA</t>
  </si>
  <si>
    <t>&lt;?xml version=”2.0” encoding=”UTF-8”?&gt;</t>
  </si>
  <si>
    <t>&lt;ArchivoSICVECA&gt;</t>
  </si>
  <si>
    <t>&lt;Encabezado&gt;</t>
  </si>
  <si>
    <t>&lt;ClaseDato /&gt;</t>
  </si>
  <si>
    <t>&lt;VersionClaseDato /&gt;</t>
  </si>
  <si>
    <t>&lt;Archivo /&gt;</t>
  </si>
  <si>
    <t>&lt;VersionArchivo /&gt;</t>
  </si>
  <si>
    <t>&lt;Periodo /&gt;</t>
  </si>
  <si>
    <t>&lt;IdEntidad /&gt;</t>
  </si>
  <si>
    <t>&lt;TipoCarga /&gt;</t>
  </si>
  <si>
    <t>&lt;TipoMoneda /&gt;</t>
  </si>
  <si>
    <t>&lt;/Encabezado&gt;</t>
  </si>
  <si>
    <t>&lt;Datos&gt;</t>
  </si>
  <si>
    <t>...........</t>
  </si>
  <si>
    <t xml:space="preserve">&lt;/Datos&gt;   </t>
  </si>
  <si>
    <t>&lt;/ArchivoSICVECA&gt;</t>
  </si>
  <si>
    <t>LOS ARCHIVOS DE ENVÍO PARA EL SICVECA EN FORMATO XML ESTÁN BASADOS EN DOS BLOQUES PRINCIPALES:</t>
  </si>
  <si>
    <t>1. Bloque de Encabezado: es una sección genérica, que debe enviarse en cada archivo de información solicitada por la SUGEF.</t>
  </si>
  <si>
    <t>2. Bloque de Datos: es la sección donde se definen los datos propios de la información que la SUGEF solicita.</t>
  </si>
  <si>
    <r>
      <t xml:space="preserve">Para algunos de los tags de datos existen datos predeterminados o que sus valores son equivalentes a una tabla; para esto en la descripción del tag se indica el valor o los valores del campo haciendo referencia al documento de descripción de las tablas </t>
    </r>
    <r>
      <rPr>
        <b/>
        <sz val="11"/>
        <rFont val="Cambria"/>
        <family val="1"/>
      </rPr>
      <t>“Tablas utilizadas en la documentación de datos de envío”.</t>
    </r>
  </si>
  <si>
    <t>CAMPOS DEL ARCHIVO DE INFORMACIÓN DE LA CLASE GARANTIAS</t>
  </si>
  <si>
    <t>NOMBRE  DEL TAG</t>
  </si>
  <si>
    <t>TIPO DATO</t>
  </si>
  <si>
    <t>TAMAÑO FORMATO</t>
  </si>
  <si>
    <t>ESTADO</t>
  </si>
  <si>
    <t>OBLIGATORIO</t>
  </si>
  <si>
    <t>DESCRIPCIÓN</t>
  </si>
  <si>
    <t>TABLA CATALOGO ASOCIADA</t>
  </si>
  <si>
    <t>ClaseDato</t>
  </si>
  <si>
    <t>Numérico</t>
  </si>
  <si>
    <t xml:space="preserve">1 a 5 </t>
  </si>
  <si>
    <t>Activo</t>
  </si>
  <si>
    <t>SI</t>
  </si>
  <si>
    <r>
      <t xml:space="preserve">
Código interno de carga para la clase de datos. 
---------------------------------------------------
</t>
    </r>
    <r>
      <rPr>
        <b/>
        <sz val="11"/>
        <color rgb="FF0070C0"/>
        <rFont val="Cambria"/>
        <family val="1"/>
      </rPr>
      <t xml:space="preserve"> Referirse a la tabla: Clase_Dato</t>
    </r>
    <r>
      <rPr>
        <sz val="11"/>
        <color theme="1"/>
        <rFont val="Cambria"/>
        <family val="1"/>
      </rPr>
      <t xml:space="preserve">
</t>
    </r>
  </si>
  <si>
    <t>Clase Dato</t>
  </si>
  <si>
    <t>VersionClaseDato</t>
  </si>
  <si>
    <t>1 a 10 enteros
2 decimales</t>
  </si>
  <si>
    <t xml:space="preserve">
Número de versión de la Clase de Datos, en un inicio esta versión debe venir como 1.0
</t>
  </si>
  <si>
    <t>Archivo</t>
  </si>
  <si>
    <t>1 a 15</t>
  </si>
  <si>
    <r>
      <t xml:space="preserve">
Código interno de carga del archivo o bloque. 
---------------------------------------------------
</t>
    </r>
    <r>
      <rPr>
        <b/>
        <sz val="11"/>
        <color rgb="FF0070C0"/>
        <rFont val="Cambria"/>
        <family val="1"/>
      </rPr>
      <t>Referirse a la tabla: Archivo.</t>
    </r>
    <r>
      <rPr>
        <sz val="11"/>
        <color theme="1"/>
        <rFont val="Cambria"/>
        <family val="1"/>
      </rPr>
      <t xml:space="preserve">
</t>
    </r>
  </si>
  <si>
    <t>VersionArchivo</t>
  </si>
  <si>
    <t xml:space="preserve">
Número de versión del archivo, en un inicio esta versión debe venir como 1.0
</t>
  </si>
  <si>
    <t>Periodo</t>
  </si>
  <si>
    <t>dd/mm/yyyy</t>
  </si>
  <si>
    <t xml:space="preserve">
Código del periodo, es la fecha que corresponde al periodo que cumple la carga del archivo
</t>
  </si>
  <si>
    <t>IdEntidad</t>
  </si>
  <si>
    <t>Texto</t>
  </si>
  <si>
    <t xml:space="preserve">1 a 30 </t>
  </si>
  <si>
    <t xml:space="preserve">
Identificador de la entidad que envía los datos, corresponde al  número de cédula jurídica. 
</t>
  </si>
  <si>
    <t>TipoCarga</t>
  </si>
  <si>
    <t>1 a 2</t>
  </si>
  <si>
    <r>
      <t xml:space="preserve">
Define si la carga es nueva, una prórroga,  un reenvío o un cambio. 
----------------------------------------------------
</t>
    </r>
    <r>
      <rPr>
        <b/>
        <sz val="11"/>
        <color rgb="FF0070C0"/>
        <rFont val="Cambria"/>
        <family val="1"/>
      </rPr>
      <t xml:space="preserve">Referirse a la tabla: Tipo_carga_clase_dato </t>
    </r>
    <r>
      <rPr>
        <sz val="11"/>
        <color theme="1"/>
        <rFont val="Cambria"/>
        <family val="1"/>
      </rPr>
      <t xml:space="preserve">
</t>
    </r>
  </si>
  <si>
    <t xml:space="preserve">Tipo Carga Clase Dato </t>
  </si>
  <si>
    <t>TipoMoneda</t>
  </si>
  <si>
    <t>1 a 6</t>
  </si>
  <si>
    <r>
      <t xml:space="preserve">
Tipo de moneda del reporte. 
----------------------------------------------------
</t>
    </r>
    <r>
      <rPr>
        <b/>
        <sz val="11"/>
        <color rgb="FF0070C0"/>
        <rFont val="Cambria"/>
        <family val="1"/>
      </rPr>
      <t>Referirse a la tabla: Tipo_Moneda.</t>
    </r>
    <r>
      <rPr>
        <sz val="11"/>
        <color theme="1"/>
        <rFont val="Cambria"/>
        <family val="1"/>
      </rPr>
      <t xml:space="preserve">
</t>
    </r>
  </si>
  <si>
    <t>Tipo Moneda</t>
  </si>
  <si>
    <t>VALIDACIONES GENERALES PARA EL ARCHIVO DE LA CLASE DE DATOS DE GARANTIAS.</t>
  </si>
  <si>
    <t>Código del archivo</t>
  </si>
  <si>
    <t>Número 
Validación NEC (T.I)</t>
  </si>
  <si>
    <t>Validaciones De Encabezado.</t>
  </si>
  <si>
    <r>
      <rPr>
        <b/>
        <sz val="11"/>
        <color theme="1"/>
        <rFont val="Cambria"/>
        <family val="1"/>
      </rPr>
      <t xml:space="preserve">1. </t>
    </r>
    <r>
      <rPr>
        <sz val="11"/>
        <color theme="1"/>
        <rFont val="Cambria"/>
        <family val="1"/>
      </rPr>
      <t>Verificar que el “Id_Entidad” corresponda a una Entidad de la tabla de Entidades en la base de datos de la SUGEF.</t>
    </r>
  </si>
  <si>
    <r>
      <rPr>
        <b/>
        <sz val="11"/>
        <color theme="1"/>
        <rFont val="Cambria"/>
        <family val="1"/>
      </rPr>
      <t>2.</t>
    </r>
    <r>
      <rPr>
        <sz val="11"/>
        <color theme="1"/>
        <rFont val="Cambria"/>
        <family val="1"/>
      </rPr>
      <t xml:space="preserve"> Verificar que los tipos de moneda correspondan a la tabla “Tipo_Moneda” de la base de datos de la SUGEF.</t>
    </r>
  </si>
  <si>
    <r>
      <rPr>
        <b/>
        <sz val="11"/>
        <color theme="1"/>
        <rFont val="Cambria"/>
        <family val="1"/>
      </rPr>
      <t>3.</t>
    </r>
    <r>
      <rPr>
        <sz val="11"/>
        <color theme="1"/>
        <rFont val="Cambria"/>
        <family val="1"/>
      </rPr>
      <t xml:space="preserve"> Verificar que el campo “TipoMoneda” del encabezado del reporte venga únicamente en colones.</t>
    </r>
  </si>
  <si>
    <t>Esta validación implica que todos los montos de los archivos deben venir colonizados con las excepciones que se indiquen en algunos de los campos. El tipo de cambio de referencia que se debe utilizar en la colonización de los montos es el tipo de cambio de venta de referencia del Banco Central de Costa Rica, al último día natural de cada mes en adelante "Tipo de Cambio de Referencia".</t>
  </si>
  <si>
    <r>
      <rPr>
        <b/>
        <sz val="11"/>
        <color theme="1"/>
        <rFont val="Cambria"/>
        <family val="1"/>
      </rPr>
      <t>4.</t>
    </r>
    <r>
      <rPr>
        <sz val="11"/>
        <color theme="1"/>
        <rFont val="Cambria"/>
        <family val="1"/>
      </rPr>
      <t xml:space="preserve"> Verificar que el campo”ClaseDato” corresponda a la tabla “Clase_Dato”.</t>
    </r>
  </si>
  <si>
    <r>
      <rPr>
        <b/>
        <sz val="11"/>
        <color theme="1"/>
        <rFont val="Cambria"/>
        <family val="1"/>
      </rPr>
      <t>5.</t>
    </r>
    <r>
      <rPr>
        <sz val="11"/>
        <color theme="1"/>
        <rFont val="Cambria"/>
        <family val="1"/>
      </rPr>
      <t xml:space="preserve"> Verificar que el campo “Archivo” corresponda en la tabla de Archivos.</t>
    </r>
  </si>
  <si>
    <r>
      <rPr>
        <b/>
        <sz val="11"/>
        <color theme="1"/>
        <rFont val="Cambria"/>
        <family val="1"/>
      </rPr>
      <t>6.</t>
    </r>
    <r>
      <rPr>
        <sz val="11"/>
        <color theme="1"/>
        <rFont val="Cambria"/>
        <family val="1"/>
      </rPr>
      <t xml:space="preserve"> Verificar que el campo “TipoCarga” corresponda en la tabla Tipo_carga_clase_dato.</t>
    </r>
  </si>
  <si>
    <t>Validaciones Generales.</t>
  </si>
  <si>
    <t>1. El campo “Registro” debe ser consecutivo empezando por el número uno en cada archivo.</t>
  </si>
  <si>
    <r>
      <rPr>
        <b/>
        <sz val="11"/>
        <color theme="1"/>
        <rFont val="Cambria"/>
        <family val="1"/>
      </rPr>
      <t>2.</t>
    </r>
    <r>
      <rPr>
        <sz val="11"/>
        <color theme="1"/>
        <rFont val="Cambria"/>
        <family val="1"/>
      </rPr>
      <t xml:space="preserve"> Tipo de Dato: este elemento describe si el campo debe ser numérico, alfanumérico o fecha.
a. Cuando el tipo de dato es numérico, el campo debe venir numérico.,
b. Cuando el tipo de dato es fecha, el campo debe contener una fecha con la siguiente estructura:  dd/mm/yyyy.,
c. Cuando el campo tenga relación con cifras numéricas relacionadas con montos, estas deben tener como separación el punto en los decimales únicamente., 
d. Cuando el tipo de dato es texto, el campo puede contener una mezcla de números y letras. ,
 e. Cuando se trate de nombre y apellidos de personas físicas y razón social no debe llevar tildes ni caracteres como /, |, \, #, o % para indicar una letra Ñ. Y además, no debe contener los caracteres: “.”(punto),  ni “”” (doble comilla).  
f. La restricción para la “Ñ” aplica únicamente para los campos “Nombre” “Apellidos” y “RazonSocial”.</t>
    </r>
  </si>
  <si>
    <r>
      <rPr>
        <b/>
        <sz val="11"/>
        <color theme="1"/>
        <rFont val="Cambria"/>
        <family val="1"/>
      </rPr>
      <t xml:space="preserve">3. </t>
    </r>
    <r>
      <rPr>
        <sz val="11"/>
        <color theme="1"/>
        <rFont val="Cambria"/>
        <family val="1"/>
      </rPr>
      <t>Tamaño-formato: este elemento indica el tamaño del campo.,
a. Cuando se indica un rango como por ejemplo “1 a 5”, significa que el campo puede tener desde un caracter hasta cinco caracteres.,
b. Cuando se indica un rango como por ejemplo “0 a 20”, significa que el campo puede tener de cero caracteres a 20 caracteres.,
c. Cuando se indica un rango como por ejemplo “1 a 10 números enteros más dos decimales”, significa que el campo puede tener desde un caracter hasta diez números enteros con dos decimales.  , 
d. La separación de decimales es punto.</t>
    </r>
  </si>
  <si>
    <t>4. Estado: este elemento indica si el campo es activo o inactivo.,
a. Cuando se indica “Activo”, significa que el campo debe ser reportado por las entidades financieras en caso de que aplique.,
b. Cuando se indica “Inactivo” significa que el campo no debe ser reportado por las entidades financieras.</t>
  </si>
  <si>
    <t>5. Descripción: Este elemento indica la descripción del campo, en algunos casos indica los códigos que deben utilizarse en el campo y en otros casos indica la tabla de referencia que aplica para ese campo., 
a. Cuando se indica en la descripción los códigos a utilizar, el campo debe contener alguno de esos códigos según corresponda.  ,
 b. Cuando se hace referencia a una tabla, el campo debe contener los códigos que tiene la tabla. Las tablas se encuentran en los archivos: “TablasDocumentacionXML_Primera Parte.doc” y  “TablasDocumentacionXML_Segunda Parte.doc”.</t>
  </si>
  <si>
    <t>6. Obligatorio: Este elemento indica si el campo debe venir obligatoriamente o no.  , 
a. Cuando el elemento indica “SI”, significa que el campo debe ser reportado por la entidad.,
b. Cuando el elemento indica “NO”, esto no necesariamente implica que no deba enviarse el valor correspondiente, ya que en algunos casos, el campo debe ser reportado según se indique en las validaciones.</t>
  </si>
  <si>
    <t>ARCHIVO PARA INFORMACIÓN DEL ARCHIVO PÓLIZAS</t>
  </si>
  <si>
    <r>
      <t xml:space="preserve">El archivo de Pólizas permite reportar la información referente a las pólizas suscritas a favor de la entidad como parte de las garantías reportadas por la entidad. El formato de envío para esta información se encuentra en el archivo: </t>
    </r>
    <r>
      <rPr>
        <b/>
        <sz val="11"/>
        <color rgb="FF0070C0"/>
        <rFont val="Cambria"/>
        <family val="1"/>
      </rPr>
      <t>NEC2024_Garantias_Polizas.xml [5201]</t>
    </r>
    <r>
      <rPr>
        <sz val="11"/>
        <color theme="1"/>
        <rFont val="Cambria"/>
        <family val="1"/>
      </rPr>
      <t xml:space="preserve">, estado </t>
    </r>
    <r>
      <rPr>
        <b/>
        <sz val="11"/>
        <color rgb="FF0070C0"/>
        <rFont val="Cambria"/>
        <family val="1"/>
      </rPr>
      <t>Activo</t>
    </r>
    <r>
      <rPr>
        <sz val="11"/>
        <color theme="1"/>
        <rFont val="Cambria"/>
        <family val="1"/>
      </rPr>
      <t>.</t>
    </r>
  </si>
  <si>
    <t>METODOLOGÍA DE USO DEL ARCHIVO PÓLIZAS</t>
  </si>
  <si>
    <t>El uso de este archivo es permanente para los periodos en los cuales la entidad reporte pólizas que respaldan las garantías y tiene dependencia del envío del XML de Garantías y aplica a partir de enero 2024.</t>
  </si>
  <si>
    <t>ESTRUCTURA DEL ARCHIVO POLIZAS</t>
  </si>
  <si>
    <t>Registro id="" accion=""&gt; </t>
  </si>
  <si>
    <t>&lt;IdGarantia/&gt; </t>
  </si>
  <si>
    <t>&lt;TipoGarantia/&gt; </t>
  </si>
  <si>
    <t>&lt;TipoBienGarantia/&gt; </t>
  </si>
  <si>
    <t>&lt;TipoPoliza/&gt; </t>
  </si>
  <si>
    <t>&lt;MontoPoliza/&gt; </t>
  </si>
  <si>
    <t>&lt;FechaVencimientoPoliza/&gt; </t>
  </si>
  <si>
    <t>&lt;IndicadorCoberturasPoliza /&gt; </t>
  </si>
  <si>
    <t xml:space="preserve"> &lt;TipoPersonaBeneficiario/&gt; </t>
  </si>
  <si>
    <t xml:space="preserve"> &lt;IdBeneficiario/&gt; </t>
  </si>
  <si>
    <t>&lt;/Registro&gt; </t>
  </si>
  <si>
    <t>CAMPO LLAVE DEL ARCHIVO PÓLIZAS</t>
  </si>
  <si>
    <r>
      <t xml:space="preserve">El campo llave del archivo de pólizas es: </t>
    </r>
    <r>
      <rPr>
        <b/>
        <sz val="11"/>
        <color rgb="FF0070C0"/>
        <rFont val="Cambria"/>
        <family val="1"/>
      </rPr>
      <t>IdGarantia, TipoGarantia,TipoBienGarantia, TipoPoliza, FechaVencimientoPoliza</t>
    </r>
    <r>
      <rPr>
        <sz val="11"/>
        <color theme="1"/>
        <rFont val="Cambria"/>
        <family val="1"/>
      </rPr>
      <t>.</t>
    </r>
  </si>
  <si>
    <t>CAMPOS DEL ARCHIVO DE INFORMACIÓN DE LA CLASE INFORMACIÓN DE POLIZAS</t>
  </si>
  <si>
    <t>NOMBRE DEL TAG</t>
  </si>
  <si>
    <t>Registro </t>
  </si>
  <si>
    <t xml:space="preserve">
Bloque donde se incluyen los datos.  El atributo “id” es obligatorio e indica un consecutivo numérico de registros de envío.  El atributo “acción” debe tener alguno de los siguientes valores: “insertar” (si es un registro nuevo), “modificar” (si es un cambio) o “eliminar” (sí se desea eliminar) 
</t>
  </si>
  <si>
    <t>IdGarantia </t>
  </si>
  <si>
    <t>1 a 25</t>
  </si>
  <si>
    <t xml:space="preserve">
Código referente a la nomenclatura utilizada por el Registro Nacional u otro organismo similar en el extranjero cuando exista.    Tales como:  el número de finca, número de placa, matrícula de buques 
</t>
  </si>
  <si>
    <t>TipoGarantia </t>
  </si>
  <si>
    <t>1 a 5</t>
  </si>
  <si>
    <r>
      <t xml:space="preserve">
Código del tipo de garantía que garantiza la operación. 
--------------------------------------------------
</t>
    </r>
    <r>
      <rPr>
        <b/>
        <sz val="11"/>
        <color rgb="FF0070C0"/>
        <rFont val="Cambria"/>
        <family val="1"/>
      </rPr>
      <t>Referirse a la tabla: Tipo_Garantia </t>
    </r>
    <r>
      <rPr>
        <sz val="11"/>
        <color theme="1"/>
        <rFont val="Cambria"/>
        <family val="1"/>
      </rPr>
      <t xml:space="preserve">
</t>
    </r>
  </si>
  <si>
    <t>TipoBienGarantia </t>
  </si>
  <si>
    <r>
      <t xml:space="preserve">
Código del tipo de bien recibido en garantía. 
--------------------------------------------------
</t>
    </r>
    <r>
      <rPr>
        <b/>
        <sz val="11"/>
        <color rgb="FF0070C0"/>
        <rFont val="Cambria"/>
        <family val="1"/>
      </rPr>
      <t xml:space="preserve">Referirse a la tabla: Tipo_Bien  </t>
    </r>
    <r>
      <rPr>
        <sz val="11"/>
        <color theme="1"/>
        <rFont val="Cambria"/>
        <family val="1"/>
      </rPr>
      <t xml:space="preserve">
</t>
    </r>
  </si>
  <si>
    <t>TipoPoliza </t>
  </si>
  <si>
    <r>
      <t xml:space="preserve">
Tipo de póliza utilizado para garantizar la cobertura del bien.
--------------------------------------------------
</t>
    </r>
    <r>
      <rPr>
        <b/>
        <sz val="11"/>
        <color rgb="FF0070C0"/>
        <rFont val="Cambria"/>
        <family val="1"/>
      </rPr>
      <t>Referirse a la tabla: Tipo_Poliza</t>
    </r>
    <r>
      <rPr>
        <sz val="11"/>
        <color theme="1"/>
        <rFont val="Cambria"/>
        <family val="1"/>
      </rPr>
      <t xml:space="preserve">
</t>
    </r>
  </si>
  <si>
    <t>MontoPoliza </t>
  </si>
  <si>
    <t>1 a 20 enteros 
2 decimales</t>
  </si>
  <si>
    <t xml:space="preserve">
Monto asegurado del bien a favor de la Entidad 
</t>
  </si>
  <si>
    <t>FechaVencimientoPoliza</t>
  </si>
  <si>
    <t xml:space="preserve">
Fecha de vencimiento (incluye su periodo de gracia) de la póliza de seguro. 
</t>
  </si>
  <si>
    <t>IndicadorCoberturasPoliza </t>
  </si>
  <si>
    <r>
      <t xml:space="preserve">
Indicador de si la póliza del bien dado en garantía incluye todas las coberturas según la naturaleza para asegurar su recuperación en caso de siniestro.  
Los valores son:
       </t>
    </r>
    <r>
      <rPr>
        <b/>
        <sz val="11"/>
        <color rgb="FF0070C0"/>
        <rFont val="Cambria"/>
        <family val="1"/>
      </rPr>
      <t>S</t>
    </r>
    <r>
      <rPr>
        <sz val="11"/>
        <color theme="1"/>
        <rFont val="Cambria"/>
        <family val="1"/>
      </rPr>
      <t xml:space="preserve">:    sí tiene todas las coberturas. 
       </t>
    </r>
    <r>
      <rPr>
        <b/>
        <sz val="11"/>
        <color rgb="FF0070C0"/>
        <rFont val="Cambria"/>
        <family val="1"/>
      </rPr>
      <t>N</t>
    </r>
    <r>
      <rPr>
        <sz val="11"/>
        <color theme="1"/>
        <rFont val="Cambria"/>
        <family val="1"/>
      </rPr>
      <t xml:space="preserve">:  no tiene todas las coberturas. 
</t>
    </r>
  </si>
  <si>
    <t>TipoPersonaBeneficiario </t>
  </si>
  <si>
    <r>
      <t xml:space="preserve">
Código de tipo de persona referido en el campo “IdBeneficiario”, y éste solo solo puede ser: 1 ó 2 ó 3 ó 4 ó 5 ó 6 ó 13.
--------------------------------------------------
</t>
    </r>
    <r>
      <rPr>
        <b/>
        <sz val="11"/>
        <color rgb="FF0070C0"/>
        <rFont val="Cambria"/>
        <family val="1"/>
      </rPr>
      <t xml:space="preserve">Referirse a la tabla: Tipo_Persona
</t>
    </r>
  </si>
  <si>
    <t>IdBeneficiario </t>
  </si>
  <si>
    <t>1 a 30</t>
  </si>
  <si>
    <t xml:space="preserve">
Corresponde a la identificación de la persona beneficiaria de la póliza. 
Si existe acreedor se debe indicar la cédula de la entidad financiera y si no existe se debe indicar el beneficiario. 
</t>
  </si>
  <si>
    <t>VALIDACIONES PARA ARCHIVO DE LA INFORMACIÓN  DE POLIZAS</t>
  </si>
  <si>
    <t>Numeración en publicación  anterior</t>
  </si>
  <si>
    <t>APARTADO</t>
  </si>
  <si>
    <t>#</t>
  </si>
  <si>
    <t>Descripción de la validación</t>
  </si>
  <si>
    <t>N# 1.16</t>
  </si>
  <si>
    <t># T.I</t>
  </si>
  <si>
    <t>Cambio realizado</t>
  </si>
  <si>
    <t xml:space="preserve">
El "IdGarantia" de este archivo, debe existir en el campo "IdGarantiaReal" y  tener una "S" en el campo "IndicadorPolizaGarantiaReal" del Archivo Garantías Reales.
</t>
  </si>
  <si>
    <t>El campo "MontoPoliza" No deben permitir datos negativos.</t>
  </si>
  <si>
    <t>NUEVA</t>
  </si>
  <si>
    <t>El campo "TipoGarantia" debe existir en la tabla "TIPO_GARANTIA" y debe estar activo.'</t>
  </si>
  <si>
    <t>El campo "TipoBienGarantia" debe existir en la tabla "TIPO_BIEN" y debe estar activo.</t>
  </si>
  <si>
    <t>El campo "TipoPoliza" debe existir en la tabla "TIPO_POLIZA" y debe estar activo.'</t>
  </si>
  <si>
    <r>
      <t xml:space="preserve">La combinación de los siguientes campos: IdGarantia, TipoGarantia, TipoBienGarantia, TipoPoliza y FechaVencimientoPoliza no deben repetirse.
</t>
    </r>
    <r>
      <rPr>
        <b/>
        <sz val="11"/>
        <color rgb="FFFF0000"/>
        <rFont val="Cambria"/>
        <family val="1"/>
      </rPr>
      <t>INACTIVA</t>
    </r>
  </si>
  <si>
    <t>MODIFICADA</t>
  </si>
  <si>
    <t>Integridad</t>
  </si>
  <si>
    <t>Implícita en la Definición del Campo XML</t>
  </si>
  <si>
    <t>09.</t>
  </si>
  <si>
    <r>
      <t xml:space="preserve">No es permitido indicar espacios en blanco al inicio o al final del campo: "IdGarantia" del Archivo: "NEC2024_GARANTIAS_POLIZAS".
</t>
    </r>
    <r>
      <rPr>
        <b/>
        <sz val="10"/>
        <color rgb="FFFF0000"/>
        <rFont val="Cambria"/>
        <family val="1"/>
      </rPr>
      <t xml:space="preserve">
</t>
    </r>
  </si>
  <si>
    <t>10.</t>
  </si>
  <si>
    <t xml:space="preserve">No es permitido indicar espacios en blanco al inicio o al final del campo: "IdBeneficiario" del Archivo: "NEC2024_GARANTIAS_POLIZAS".
</t>
  </si>
  <si>
    <t>ARCHIVO DE LA INFORMACIÓN DEL ARCHIVO GARANTÍAS CARTAS DE CRÉDITO</t>
  </si>
  <si>
    <t>Este archivo contiene los valores necesarios para realizar la carga de la información de las garantías de cartas de crédito stand by mitigadoras de riesgo, que las entidades financieras deben identificar cuando otorgan operaciones crediticias directas e indirectas con personas deudoras sean estas físicas o jurídicas.</t>
  </si>
  <si>
    <t>El registro de este tipo de garantías debe hacerse de manera individualizada.</t>
  </si>
  <si>
    <r>
      <t xml:space="preserve">El formato de envío para esta información se encuentra en el archivo: </t>
    </r>
    <r>
      <rPr>
        <b/>
        <sz val="11"/>
        <color rgb="FF0070C0"/>
        <rFont val="Cambria"/>
        <family val="1"/>
      </rPr>
      <t>NEC2024_GarantiasCartasCredito.xml [5202]</t>
    </r>
    <r>
      <rPr>
        <sz val="11"/>
        <color theme="1"/>
        <rFont val="Cambria"/>
        <family val="1"/>
      </rPr>
      <t xml:space="preserve">, estado </t>
    </r>
    <r>
      <rPr>
        <b/>
        <sz val="11"/>
        <color rgb="FF0070C0"/>
        <rFont val="Cambria"/>
        <family val="1"/>
      </rPr>
      <t>Activo</t>
    </r>
    <r>
      <rPr>
        <sz val="11"/>
        <color theme="1"/>
        <rFont val="Cambria"/>
        <family val="1"/>
      </rPr>
      <t>.</t>
    </r>
  </si>
  <si>
    <t>ESTRUCTURA DEL ARCHIVO GARANTÍAS CARTAS DE CRÉDITO</t>
  </si>
  <si>
    <t>&lt;Registro id="" accion=""&gt;</t>
  </si>
  <si>
    <t>&lt;IdGarantiaCartaCredito/&gt;</t>
  </si>
  <si>
    <t>&lt;TipoMitigadorCartaCredito/&gt;</t>
  </si>
  <si>
    <t>&lt;FechaConstitucion/&gt;</t>
  </si>
  <si>
    <t>&lt;FechaVencimiento/&gt;</t>
  </si>
  <si>
    <t>&lt;TipoPersona/&gt;</t>
  </si>
  <si>
    <t>&lt;IdEntidadCartaCredito/&gt;</t>
  </si>
  <si>
    <t>&lt;ValorNominalGarantia/&gt;</t>
  </si>
  <si>
    <t>&lt;TipoMonedaValorNominal/&gt;</t>
  </si>
  <si>
    <t>&lt;TipoAsignacionCalificacion/&gt;</t>
  </si>
  <si>
    <t>&lt;CategoriaCalificacion/&gt;</t>
  </si>
  <si>
    <t>&lt;CodigoCalificacionRiesgo/&gt;</t>
  </si>
  <si>
    <t>&lt;CodigoCalificacionCategoria/&gt;</t>
  </si>
  <si>
    <t>&lt;Factor_Y/&gt;</t>
  </si>
  <si>
    <t>&lt;/Registro&gt;</t>
  </si>
  <si>
    <t>EL CAMPO LLAVE DEL ARCHIVO GARANTÍAS CARTAS DE CRÉDITO</t>
  </si>
  <si>
    <r>
      <t xml:space="preserve">El campo llave del archivo de garantías valores es: </t>
    </r>
    <r>
      <rPr>
        <b/>
        <sz val="11"/>
        <color rgb="FF0070C0"/>
        <rFont val="Cambria"/>
        <family val="1"/>
      </rPr>
      <t>IdGarantiaCartaCredito</t>
    </r>
    <r>
      <rPr>
        <sz val="11"/>
        <color theme="1"/>
        <rFont val="Cambria"/>
        <family val="1"/>
      </rPr>
      <t>.</t>
    </r>
  </si>
  <si>
    <t xml:space="preserve">CAMPOS DEL ARCHIVO DE INFORMACIÓN DE LA CLASE GARANTIAS CARTAS DE CRÉDITO </t>
  </si>
  <si>
    <t>Registro</t>
  </si>
  <si>
    <t xml:space="preserve">
Bloque donde se incluyen los datos.  El atributo “id” es obligatorio e indica un consecutivo numérico de registros de envío.  El atributo “accion”  debe tener alguno de los siguientes valores: “insertar” (si es un registro nuevo), “modificar” (si es un cambio) o “eliminar” (sí se desea eliminar)
</t>
  </si>
  <si>
    <t xml:space="preserve"> IdGarantiaCartaCredito</t>
  </si>
  <si>
    <t xml:space="preserve">
Código que corresponde al número de la Carta de Crédito. 
</t>
  </si>
  <si>
    <t>TipoMitigadorCartaCredito</t>
  </si>
  <si>
    <t>FechaConstitucion</t>
  </si>
  <si>
    <t xml:space="preserve">
Fecha de constitución de la Carta Crédito
Corresponde a la fecha de emisión del instrumento indicado en el documento. 
</t>
  </si>
  <si>
    <t>FechaVencimiento</t>
  </si>
  <si>
    <t>NO</t>
  </si>
  <si>
    <t xml:space="preserve">
Fecha de vencimiento de la carta de crédito que responde como garantía.
</t>
  </si>
  <si>
    <t>TipoPersona</t>
  </si>
  <si>
    <t>TIPO PERSONA</t>
  </si>
  <si>
    <t>IdEntidadCartaCredito</t>
  </si>
  <si>
    <t xml:space="preserve">
Código de identificación de la entidad financiera que emite la carta de crédito Stand By o la carta de crédito de exportación.
Si se trata de una entidad financiera nacional, se debe indicar la cédula jurídica.
Si el código del campo “TipoPersona” es 4 ó 6 se debe utilizar el código ABA (entidad de USA), código SWIFT (cualquier otro país).
Valorar agregar el código 6 Empresa extranjera no financiera
</t>
  </si>
  <si>
    <t>ValorNominalGarantia</t>
  </si>
  <si>
    <t xml:space="preserve">
Valor facial de la garantía consignado en el documento legal mediante el cual se formalizó la operación de crédito.  El tipo de moneda debe ser la indicada en el documento.
</t>
  </si>
  <si>
    <t>TipoMonedaValorNominal</t>
  </si>
  <si>
    <r>
      <t xml:space="preserve">
Código de tipo de moneda del valor nominal indicado en el documento legal de la garantía.
--------------------------------------------------
</t>
    </r>
    <r>
      <rPr>
        <b/>
        <sz val="11"/>
        <color rgb="FF0070C0"/>
        <rFont val="Cambria"/>
        <family val="1"/>
      </rPr>
      <t xml:space="preserve">Referirse a la tabla: Tipo_Moneda 
</t>
    </r>
  </si>
  <si>
    <t>TIPO MONEDA</t>
  </si>
  <si>
    <t>TipoAsignacionCalificacion</t>
  </si>
  <si>
    <r>
      <t xml:space="preserve">
Código del tipo de a quien se asigna la calificación.
--------------------------------------------------
</t>
    </r>
    <r>
      <rPr>
        <b/>
        <sz val="11"/>
        <color rgb="FF0070C0"/>
        <rFont val="Cambria"/>
        <family val="1"/>
      </rPr>
      <t>Referirse a la tabla:  Tipo_Asignacion_Calificacion</t>
    </r>
    <r>
      <rPr>
        <sz val="11"/>
        <color theme="1"/>
        <rFont val="Cambria"/>
        <family val="1"/>
      </rPr>
      <t xml:space="preserve">
</t>
    </r>
  </si>
  <si>
    <t>TIPO ASIGNACION CALIFICACION</t>
  </si>
  <si>
    <t>CategoriaCalificacion</t>
  </si>
  <si>
    <t>EQUIVALENCIA CALIFICACIONES AGENCIAS CALIFICADORAS</t>
  </si>
  <si>
    <t xml:space="preserve">CodigoCalificacionRiesgo </t>
  </si>
  <si>
    <t xml:space="preserve">CodigoEmpresaCalificadora </t>
  </si>
  <si>
    <t>0 a 2</t>
  </si>
  <si>
    <t>CodigoCalificacionCategoria</t>
  </si>
  <si>
    <t>Corresponde al Código Calificación emitida por Agencia Calificadora Internacional ó a la Categoría de Riesgo, ó
según criterios para Empresarial 1.  
De acuerdo con lo indicado en el inciso c), artículo 21 del Acuerdo CONASSIF 14-21.</t>
  </si>
  <si>
    <t>Tabla Carta de Crédito Stand-by emitida por entidad financiera internacional ó Tabla Carta de Crédito Stand-by emitida por entidad financiera supervisada por SUGEF</t>
  </si>
  <si>
    <t>Factor_Y</t>
  </si>
  <si>
    <t>1 a 3 enteros 
2 decimales</t>
  </si>
  <si>
    <t>Corresponde al porcentaje indicado en la tabla Carta de Crédito Stand-by emitida por entidad financiera internacional ó Carta de Crédito Stand-by emitida por entidad financiera supervisada por SUGEF.
De acuerdo con lo indicado en el inciso c), artículo 21 del Acuerdo CONASSIF 14-21.</t>
  </si>
  <si>
    <t>Tabla Carta de Crédito Stand-by emitida por entidad financiera internacional ó Carta de Crédito Stand-by emitida por entidad financiera supervisada por SUGEF</t>
  </si>
  <si>
    <t xml:space="preserve">VALIDACIONES PARA ARCHIVO DE INFORMACIÓN DE GARANTÍAS CARTAS DE CRÉDITO </t>
  </si>
  <si>
    <t># Validación</t>
  </si>
  <si>
    <t>N# 1.6</t>
  </si>
  <si>
    <t xml:space="preserve">
Los campos “TipoPersona” y “IdEntidadCartaCredito” deben corresponder con el padrón de personas de la SUGEF.
</t>
  </si>
  <si>
    <t xml:space="preserve">
Los valores del campo “TipoPersona” deben corresponder con los códigos indicados en la Tabla “Tipo_Persona”
</t>
  </si>
  <si>
    <t xml:space="preserve">
El campo "ValorNominalGarantía " No deben permitir datos negativos.
</t>
  </si>
  <si>
    <t>El campo TipoMonedaValorNominal debe existir en la tabla TIPO_MONEDA.</t>
  </si>
  <si>
    <t>El valor del campo TipoAsignacionCalificacion debe existir en la tabla TIPO_ASIGNACION_CALIFICACION.</t>
  </si>
  <si>
    <t>El campo “IdGarantiaCartaCredito” no debe repetirse.</t>
  </si>
  <si>
    <t xml:space="preserve"> No es permitido remitir datos para periodos anteriores a Enero 2024.</t>
  </si>
  <si>
    <t>El campo TipoMitigadorCartaCredito solo puede tener el valor 21.</t>
  </si>
  <si>
    <t>Cuando el valor del campo TipoMitigadorCartaCredito es 21 y el TipoPersona del IdEntidadCartaCredito es igual a 4, los campos CodigoCalificacionCategoria y Factor_Y deben corresponder con los de la tabla Carta de Crédito Stand-by emitida por entidad financiera internacional.</t>
  </si>
  <si>
    <t>Cuando el valor del campo TipoMitigadorCartaCredito es 21 y el IdEntidadCartaCredito y TipoPersona corresponde a una entidad Financiera Supervisada por la SUGEF, los campos CodigoCalificacionCategoria y Factor_Y deben corresponder con los de la tabla Carta de Crédito Stand-by emitida por entidad financiera supervisada por SUGEF.</t>
  </si>
  <si>
    <t xml:space="preserve">No es permitido indicar espacios en blanco al inicio o al final del campo: "IdGarantiaCartaCredito" del Archivo: "NEC2024_GARANTIAS_CARTAS_CREDITO".
</t>
  </si>
  <si>
    <t>13.</t>
  </si>
  <si>
    <t>ARCHIVO PARA LA INFORMACIÓN DEL ARCHIVO GARANTÍAS FACTURAS CEDIDAS</t>
  </si>
  <si>
    <t>Este archivo contiene los valores necesarios para realizar la carga de la información de las garantías de  Facturas Cedidas mitigadoras de riesgo que las entidades financieras deben identificar cuando otorgan operaciones crediticias directas e indirectas con personas deudoras sean estas físicas o jurídicas</t>
  </si>
  <si>
    <t xml:space="preserve">El registro de este tipo de garantías debe hacerse de manera individualizada. </t>
  </si>
  <si>
    <r>
      <t xml:space="preserve">El formato de envío para esta información se encuentra en el archivo físico: </t>
    </r>
    <r>
      <rPr>
        <b/>
        <sz val="11"/>
        <color rgb="FF0070C0"/>
        <rFont val="Cambria"/>
        <family val="1"/>
      </rPr>
      <t>NEC2024_GarantiasFacturasCedidas.xml [5203]</t>
    </r>
    <r>
      <rPr>
        <sz val="11"/>
        <color theme="1"/>
        <rFont val="Cambria"/>
        <family val="1"/>
      </rPr>
      <t xml:space="preserve">, estado </t>
    </r>
    <r>
      <rPr>
        <b/>
        <sz val="11"/>
        <color rgb="FF0070C0"/>
        <rFont val="Cambria"/>
        <family val="1"/>
      </rPr>
      <t>Activo</t>
    </r>
    <r>
      <rPr>
        <sz val="11"/>
        <color theme="1"/>
        <rFont val="Cambria"/>
        <family val="1"/>
      </rPr>
      <t>.</t>
    </r>
  </si>
  <si>
    <t>ESTRUCTURA DEL ARCHIVO GARANTÍAS FACTURAS CEDIDAS</t>
  </si>
  <si>
    <t>&lt;IdGarantiaFacturaCedida/&gt;</t>
  </si>
  <si>
    <t>&lt;IdObligado/&gt;</t>
  </si>
  <si>
    <t>&lt;PorcentajeAjusteRc/&gt;</t>
  </si>
  <si>
    <t>&lt;/Registro</t>
  </si>
  <si>
    <t>EL CAMPO LLAVE DEL ARCHIVO GARANTÍAS FACTURAS CEDIDAS</t>
  </si>
  <si>
    <r>
      <t xml:space="preserve">El campo llave del archivo Garantías Facturas Cedidas es:  </t>
    </r>
    <r>
      <rPr>
        <b/>
        <sz val="11"/>
        <color rgb="FF0070C0"/>
        <rFont val="Cambria"/>
        <family val="1"/>
      </rPr>
      <t>IdGarantiaFacturaCedida</t>
    </r>
    <r>
      <rPr>
        <sz val="11"/>
        <color theme="1"/>
        <rFont val="Cambria"/>
        <family val="1"/>
      </rPr>
      <t>.</t>
    </r>
  </si>
  <si>
    <t>CAMPOS DEL ARCHIVO DE INFORMACIÓN DE LA CLASE GARANTIAS FACTURAS CEDIDAS</t>
  </si>
  <si>
    <t xml:space="preserve">IdGarantiaFacturaCedida </t>
  </si>
  <si>
    <t xml:space="preserve">
Código que corresponde al número de la factura.
</t>
  </si>
  <si>
    <t xml:space="preserve">
Fecha de constitución de la factura cedida como garantía. No necesariamente debe coincidir con la fecha de emisión de la factura cedida.
</t>
  </si>
  <si>
    <t xml:space="preserve">
Fecha de vencimiento de la factura cedida como garantía.
</t>
  </si>
  <si>
    <r>
      <t xml:space="preserve">
Código de tipo de persona del campo IdObligado, y éste solo solo puede ser: 1 ó 2 ó 3 ó 4 ó 5 ó 6 ó 13.
--------------------------------------------------
</t>
    </r>
    <r>
      <rPr>
        <b/>
        <sz val="11"/>
        <color rgb="FF0070C0"/>
        <rFont val="Cambria"/>
        <family val="1"/>
      </rPr>
      <t>Referirse a la tabla Tipo_Persona</t>
    </r>
    <r>
      <rPr>
        <sz val="11"/>
        <color theme="1"/>
        <rFont val="Cambria"/>
        <family val="1"/>
      </rPr>
      <t xml:space="preserve">
</t>
    </r>
  </si>
  <si>
    <t>IdObligado</t>
  </si>
  <si>
    <t xml:space="preserve">
Corresponde a la identificación de la persona obligada a pagar el documento cedido en una cesión con recurso
</t>
  </si>
  <si>
    <r>
      <t>ValorNomina</t>
    </r>
    <r>
      <rPr>
        <b/>
        <sz val="11"/>
        <rFont val="Cambria"/>
        <family val="1"/>
      </rPr>
      <t xml:space="preserve">lGarantia </t>
    </r>
  </si>
  <si>
    <r>
      <t xml:space="preserve">
Código de tipo de moneda del valor nominal indicado en el documento legal de la garantía.
--------------------------------------------------
</t>
    </r>
    <r>
      <rPr>
        <b/>
        <sz val="11"/>
        <color rgb="FF0070C0"/>
        <rFont val="Cambria"/>
        <family val="1"/>
      </rPr>
      <t xml:space="preserve">Referirse a la tabla: Tipo_Moneda </t>
    </r>
    <r>
      <rPr>
        <sz val="11"/>
        <color theme="1"/>
        <rFont val="Cambria"/>
        <family val="1"/>
      </rPr>
      <t xml:space="preserve">
</t>
    </r>
  </si>
  <si>
    <t>PorcentajeAjusteRc</t>
  </si>
  <si>
    <t>1 a 3 enteros
2 decimales</t>
  </si>
  <si>
    <r>
      <t xml:space="preserve">
Debe indicarse el  porcentaje de ajuste "factor único"  que le coresponda al código 8 " Factura con su respectiva cesión con recurso a favor de la entidad " </t>
    </r>
    <r>
      <rPr>
        <b/>
        <sz val="11"/>
        <color theme="1"/>
        <rFont val="Cambria"/>
        <family val="1"/>
      </rPr>
      <t>de la Tabla   Tipo_Colateral_Financiero.
Se exceptuan las garantías de las operaciones realizadas bajo la Ley 9274 y su Reglamento (Acuerdo SUGEF 15-16),  estas deben ser reportadas con el valor "0" en este campo.</t>
    </r>
    <r>
      <rPr>
        <sz val="11"/>
        <color theme="1"/>
        <rFont val="Cambria"/>
        <family val="1"/>
      </rPr>
      <t xml:space="preserve">
</t>
    </r>
  </si>
  <si>
    <t>TIPO COLATERAL FINANCIERO</t>
  </si>
  <si>
    <t>VALIDACIONES PARA ARCHIVO DE INFORMACIÓN DE GARANTÍAS FACTURAS CEDIDAS</t>
  </si>
  <si>
    <t xml:space="preserve">
Los campos “TipoPersona” y “IdObligado” deben corresponder con el padrón de personas de la SUGEF.
</t>
  </si>
  <si>
    <t>El valor del campo "PorcentajeAjusteRc" debe ser 40% ó, 0% cuando la garantía corresponde a una operación realizadas bajo la Ley 9274 y su Reglamento (Acuerdo SUGEF 15-16).</t>
  </si>
  <si>
    <t xml:space="preserve">  No es permitido remitir datos para periodos anteriores a Enero 2024</t>
  </si>
  <si>
    <t>05.</t>
  </si>
  <si>
    <t>06.</t>
  </si>
  <si>
    <t xml:space="preserve">No es permitido indicar espacios en blanco al inicio o al final del campo: "IdGarantiaFacturaCedida " del Archivo: "NEC2024_GARANTIAS_FACTURAS_CEDIDAS".
</t>
  </si>
  <si>
    <t>07.</t>
  </si>
  <si>
    <t xml:space="preserve">No es permitido indicar espacios en blanco al inicio o al final del campo: "IdObligado" del Archivo: "NEC2024_GARANTIAS_FACTURAS_CEDIDAS".
</t>
  </si>
  <si>
    <t>ARCHIVO GARANTÍAS FIDUCIARIAS O AVALES</t>
  </si>
  <si>
    <t>Este archivo contiene los valores necesarios para realizar la carga de la información de las garantías fiduciarias mitigadoras o no, de riesgo, que las entidades financieras deben identificar cuando otorgan operaciones crediticias directas e indirectas con personas deudoras, sean estas físicas o jurídicas.</t>
  </si>
  <si>
    <t>La entidad financiera debe remitir la totalidad de las garantías fiduciaras en forma mensual sean mitigadoras o no, ya que su uso es permanente en los informes del Centro de Información Crediticia (CIC).</t>
  </si>
  <si>
    <r>
      <t xml:space="preserve">El formato de envío para esta información se encuentra en el archivo físico: </t>
    </r>
    <r>
      <rPr>
        <b/>
        <sz val="11"/>
        <color rgb="FF0070C0"/>
        <rFont val="Cambria"/>
        <family val="1"/>
      </rPr>
      <t>NEC2024_GarantiasFiduciarias [5204]</t>
    </r>
    <r>
      <rPr>
        <sz val="11"/>
        <color theme="1"/>
        <rFont val="Cambria"/>
        <family val="1"/>
      </rPr>
      <t xml:space="preserve">, estado: </t>
    </r>
    <r>
      <rPr>
        <b/>
        <sz val="11"/>
        <color rgb="FF0070C0"/>
        <rFont val="Cambria"/>
        <family val="1"/>
      </rPr>
      <t>Activo</t>
    </r>
    <r>
      <rPr>
        <sz val="11"/>
        <color theme="1"/>
        <rFont val="Cambria"/>
        <family val="1"/>
      </rPr>
      <t>.</t>
    </r>
  </si>
  <si>
    <t>ESTRUCTURA DEL ARCHIVO GARANTÍAS FIDUCIARIAS O AVALES</t>
  </si>
  <si>
    <t xml:space="preserve">     &lt;IdGarantiaFiduciaria/&gt;</t>
  </si>
  <si>
    <t xml:space="preserve">     &lt;TipoPersona/&gt;   </t>
  </si>
  <si>
    <t xml:space="preserve">     &lt;IdFiador/&gt;</t>
  </si>
  <si>
    <t xml:space="preserve">     &lt;SalarioNetoFiador/&gt;</t>
  </si>
  <si>
    <t xml:space="preserve">     &lt;FechaVerificacionAsalariado/&gt;</t>
  </si>
  <si>
    <t xml:space="preserve">     &lt;MontoAvalado/&gt;</t>
  </si>
  <si>
    <t xml:space="preserve">     &lt;PorcentajeMitigacionFondo/&gt;</t>
  </si>
  <si>
    <t xml:space="preserve">     &lt;PorcentajeEstimacionMinimoFondo/&gt;</t>
  </si>
  <si>
    <t>CAMPO LLAVE DEL ARCHIVO GARANTÍAS FIDUCIARIAS O AVALES</t>
  </si>
  <si>
    <r>
      <t xml:space="preserve">El campo llave del archivo de Garantías Fiduciarias es:  </t>
    </r>
    <r>
      <rPr>
        <b/>
        <sz val="11"/>
        <color rgb="FF0070C0"/>
        <rFont val="Cambria"/>
        <family val="1"/>
      </rPr>
      <t>IdGarantiaFiduciaria</t>
    </r>
    <r>
      <rPr>
        <sz val="11"/>
        <color theme="1"/>
        <rFont val="Cambria"/>
        <family val="1"/>
      </rPr>
      <t>.</t>
    </r>
  </si>
  <si>
    <t>CAMPOS DEL ARCHIVO DE INFORMACIÓN DE LA CLASE GARANTIAS FIDUCIARIAS O AVALES.</t>
  </si>
  <si>
    <t>IdGarantiaFiduciaria</t>
  </si>
  <si>
    <t xml:space="preserve">
Código que se indica en el campo “IdFiador” referente al número de identificación del fiador o del avalista que respalda  la operación de crédito. 
</t>
  </si>
  <si>
    <t>1 a 2 enteros</t>
  </si>
  <si>
    <t>IdFiador</t>
  </si>
  <si>
    <t>SalarioNetoFiador</t>
  </si>
  <si>
    <t>1-20 enteros
2 decimales</t>
  </si>
  <si>
    <t xml:space="preserve">
Monto del salario neto de cargas sociales del fiador.
</t>
  </si>
  <si>
    <t>FechaVerificacionAsalariado</t>
  </si>
  <si>
    <t xml:space="preserve">
Fecha en la que se realizó la última verificación del estado de asalariado del fiador.   Esta fecha corresponde también a la fecha en que se actualizó la información del campo “SalarioNetoFiador”.
</t>
  </si>
  <si>
    <t>MontoAvalado</t>
  </si>
  <si>
    <t xml:space="preserve">
Debe indicarse la sumatoria de todas los montos avalados de las facilidades crediticias otorgadas por la entidad amparados al fondo de garantía que corresponda.</t>
  </si>
  <si>
    <t>1-3 enteros
2 decimales</t>
  </si>
  <si>
    <t>PorcentajeEstimacionMinimoFondo</t>
  </si>
  <si>
    <t xml:space="preserve">
Debe indicarse el "Porcentaje de Estimación mínimo" que corresponda de acuerdo al Nivel de apalancamiento del Fondo.  Referir a lo establecido en la Nota 1 del apartado 7.2 de la Sección 7 del Anexo 3, Metodología Estándar, del Reglamento sobre gestión y evaluación del Riesgo de Crédito para el Sistema de Banca para el Desarrollo, Acuerdo 15-16.
</t>
  </si>
  <si>
    <t>VALIDACIONES PARA ARCHIVO DE INFORMACIÓN DE GARANTÍAS FIDUCIARIAS O AVALES</t>
  </si>
  <si>
    <t>Anterior validaciónm</t>
  </si>
  <si>
    <r>
      <t xml:space="preserve">
Los campos “TipoPersona” y “"IdFiador"” deben corresponder con el padrón de personas de la SUGEF, excepto cuando el "IdFiador" corresponde a FODEMIPYME</t>
    </r>
    <r>
      <rPr>
        <b/>
        <sz val="11"/>
        <color theme="1"/>
        <rFont val="Cambria"/>
        <family val="1"/>
      </rPr>
      <t xml:space="preserve"> (4000042152 ).</t>
    </r>
    <r>
      <rPr>
        <sz val="11"/>
        <color theme="1"/>
        <rFont val="Cambria"/>
        <family val="1"/>
      </rPr>
      <t xml:space="preserve"> Los valores del campo “TipoPersona” deben corresponder con los códigos indicados en la Tabla “Tipo_Persona”.
</t>
    </r>
  </si>
  <si>
    <t xml:space="preserve">
Los campos “TipoPersona” y “"IdFiador"” deben corresponder con el padrón de personas de la SUGEF, excepto cuando el "IdFiador" corresponde a FODEMIPYME. Los valores del campo “TipoPersona” deben corresponder con los códigos indicados en la Tabla “Tipo_Persona”.</t>
  </si>
  <si>
    <t xml:space="preserve">
La combinación de los campos “TipoPersona” y “"IdFiador"” no se deben repetir.
</t>
  </si>
  <si>
    <t xml:space="preserve">
El campo “IdGarantiaFiduciaria” debe ser igual al campo “"IdFiador"”.
</t>
  </si>
  <si>
    <r>
      <t xml:space="preserve">Cuando el "IdFiador" es 3007782679 (FONADE) o 4000042152 "FODEMIPYME", los campos "PorcentajeMitigacionFondo" y "PorcentajeEstimacionMinimoFondo" deben ser mayor a cero.
</t>
    </r>
    <r>
      <rPr>
        <b/>
        <sz val="11"/>
        <color rgb="FFFF0000"/>
        <rFont val="Cambria"/>
        <family val="1"/>
      </rPr>
      <t>INACTIVADA</t>
    </r>
  </si>
  <si>
    <r>
      <t xml:space="preserve">
Cuando el "IdFiador" es </t>
    </r>
    <r>
      <rPr>
        <b/>
        <sz val="11"/>
        <color theme="1"/>
        <rFont val="Cambria"/>
        <family val="1"/>
      </rPr>
      <t xml:space="preserve">3007782679 </t>
    </r>
    <r>
      <rPr>
        <sz val="11"/>
        <color theme="1"/>
        <rFont val="Cambria"/>
        <family val="1"/>
      </rPr>
      <t xml:space="preserve">(FONADE) o </t>
    </r>
    <r>
      <rPr>
        <b/>
        <sz val="11"/>
        <color theme="1"/>
        <rFont val="Cambria"/>
        <family val="1"/>
      </rPr>
      <t xml:space="preserve">4000042152 </t>
    </r>
    <r>
      <rPr>
        <sz val="11"/>
        <color theme="1"/>
        <rFont val="Cambria"/>
        <family val="1"/>
      </rPr>
      <t xml:space="preserve">"FODEMIPYME", los campos "PorcentajeMitigacionFondo" y "PorcentajeEstimacionMinimoFondo" deben ser mayor a cero.
</t>
    </r>
  </si>
  <si>
    <t xml:space="preserve">
El valor del dato que se indique en el campo "PorcentajeMitigacionFondo" y "PorcentajeEstimacionMinimoFondo", no debe ser mayor a 100%.
</t>
  </si>
  <si>
    <t xml:space="preserve">
El campo "SalarioNetoFiador" No deben permitir datos negativos.</t>
  </si>
  <si>
    <t xml:space="preserve">08. </t>
  </si>
  <si>
    <t xml:space="preserve">No es permitido indicar espacios en blanco al inicio o al final del campo: "IdGarantiaFiduciaria" del Archivo: "NEC2024_GARANTIAS_FIDUCIARIAS".
</t>
  </si>
  <si>
    <t xml:space="preserve">Validación # 10: No es permitido indicar espacios en blanco al inicio o al final del campo: "IdFiador" del Archivo: "NEC2024_GARANTIAS_FIDUCIARIAS".
</t>
  </si>
  <si>
    <t>ARCHIVO DE LA INFORMACIÓN DE GARANTÍAS REALES</t>
  </si>
  <si>
    <t>Este archivo contiene los valores necesarios para realizar la carga de la información de las garantías reales mitigadoras de riesgo que las entidades financieras deben identificar cuando otorgan operaciones crediticias directas e indirectas con personas deudoras sean estas físicas o jurídicas.</t>
  </si>
  <si>
    <r>
      <t xml:space="preserve">El formato de envío para esta información se encuentra en el archivo físico: </t>
    </r>
    <r>
      <rPr>
        <b/>
        <sz val="11"/>
        <color rgb="FF0070C0"/>
        <rFont val="Cambria"/>
        <family val="1"/>
      </rPr>
      <t>NEC2024_GarantiasReales.xml [5205]</t>
    </r>
    <r>
      <rPr>
        <sz val="11"/>
        <color rgb="FFFF0000"/>
        <rFont val="Cambria"/>
        <family val="1"/>
      </rPr>
      <t xml:space="preserve"> </t>
    </r>
    <r>
      <rPr>
        <sz val="11"/>
        <color theme="1"/>
        <rFont val="Cambria"/>
        <family val="1"/>
      </rPr>
      <t xml:space="preserve">estado </t>
    </r>
    <r>
      <rPr>
        <b/>
        <sz val="11"/>
        <color rgb="FF0070C0"/>
        <rFont val="Cambria"/>
        <family val="1"/>
      </rPr>
      <t>Activo</t>
    </r>
    <r>
      <rPr>
        <sz val="11"/>
        <color theme="1"/>
        <rFont val="Cambria"/>
        <family val="1"/>
      </rPr>
      <t>.</t>
    </r>
  </si>
  <si>
    <t>ESTRUCTURA DEL ARCHIVO</t>
  </si>
  <si>
    <t xml:space="preserve">     &lt;IdGarantiaReal/&gt;</t>
  </si>
  <si>
    <t xml:space="preserve">     &lt;TipoBienGarantiaReal/&gt;</t>
  </si>
  <si>
    <t xml:space="preserve">     &lt;MontoUltimaTasacionTerreno/&gt;</t>
  </si>
  <si>
    <t xml:space="preserve">     &lt;MontoUltimaTasacionNoTerreno/&gt;</t>
  </si>
  <si>
    <t xml:space="preserve">     &lt;FechaUltimaTasacionGarantia/&gt;</t>
  </si>
  <si>
    <t xml:space="preserve">     &lt;FechaUltimoSeguimientoGarantia/&gt;</t>
  </si>
  <si>
    <t xml:space="preserve">     &lt;TipoMonedaTasacion/&gt;</t>
  </si>
  <si>
    <t xml:space="preserve">     &lt;FechaConstruccion/&gt;</t>
  </si>
  <si>
    <t xml:space="preserve">     &lt;TipoPersonaTasador/&gt;</t>
  </si>
  <si>
    <t xml:space="preserve">     &lt;IdTasador/&gt;</t>
  </si>
  <si>
    <t xml:space="preserve">     &lt;TipoPersonaEmpresaTasadora/&gt;</t>
  </si>
  <si>
    <t xml:space="preserve">     &lt;IdEmpresaTasadora/&gt;</t>
  </si>
  <si>
    <t xml:space="preserve">      &lt;IndicadorPolizaGarantiaReal /&gt;</t>
  </si>
  <si>
    <t xml:space="preserve">     &lt;TipoColateralReal/&gt;</t>
  </si>
  <si>
    <t xml:space="preserve">     &lt;PorcentajeRecuperacionColateralReal /&gt;</t>
  </si>
  <si>
    <t xml:space="preserve">     &lt;Tiempo/&gt;</t>
  </si>
  <si>
    <t xml:space="preserve">     &lt;PorcentajeFactorDescuentoTiempo/&gt;</t>
  </si>
  <si>
    <t>CAMPOS LLAVE DEL ARCHIVO DE GARANTÍAS REALES</t>
  </si>
  <si>
    <r>
      <t xml:space="preserve">El campo llave del archivo de Garantías Reales es: </t>
    </r>
    <r>
      <rPr>
        <b/>
        <sz val="11"/>
        <color rgb="FF0070C0"/>
        <rFont val="Cambria"/>
        <family val="1"/>
      </rPr>
      <t>IdGarantiaReal</t>
    </r>
  </si>
  <si>
    <t>&lt;CodigoPaisGarantiaReal/&gt;</t>
  </si>
  <si>
    <t>&lt;CodigoProvinciaGarantiaReal/&gt;</t>
  </si>
  <si>
    <t>&lt;CodigoCantonGarantiaReal/&gt;</t>
  </si>
  <si>
    <t>&lt;CodigoDistritoGarantiaReal/&gt;</t>
  </si>
  <si>
    <t>&lt;CodigoLatitudGarantiaReal/&gt;</t>
  </si>
  <si>
    <t>&lt;CodigoLongitudGarantiaReal/&gt;</t>
  </si>
  <si>
    <t xml:space="preserve">
Cuando el campo “CodigoPaisGarantiaReal” indica el código de Costa Rica, deben reportarse los campos “CodigoProvinciaGarantiaReal”, “CodigoCantonGarantiaReal”, “CodigoProvinciaGarantiaRealo” y “CodigoCantonGarantiaReal”.
</t>
  </si>
  <si>
    <t>Cuando el campo "CodigoPaisDestinoCredito" tenga el valor "CR",  el código que se indique en los campos "CodigoProvinciaGarantiaReal", "CodigoCantonGarantiaReal" y "CodigoDistritoGarantiaReal" deben existir  en las tablas  PROVINCIA, CANTON, DISTRITO, respectivamente y estar activos.</t>
  </si>
  <si>
    <t xml:space="preserve">
Cuando el campo “CodigoPaisGarantiaReal” sea diferente al código de Costa Rica No deben reportarse los campos “CodigoProvinciaGarantiaReal”, “CodigoCantonGarantiaReal” y "CodigoDistritoGarantiaReal". 
</t>
  </si>
  <si>
    <t xml:space="preserve">
Cuando alguno de los campos “CodigoProvinciaGarantiaRealo”, “CodigoCantonGarantiaRealo” y "CodigoDistritoGarantiaReal" reporte valor el campo “CodigoPaisGarantiaReal” debe ser Costa Rica. 
</t>
  </si>
  <si>
    <t>CAMPOS DEL ARCHIVO DE INFORMACIÓN DE LA CLASE GARANTIAS REALES</t>
  </si>
  <si>
    <t>IdGarantiaReal</t>
  </si>
  <si>
    <r>
      <t xml:space="preserve">
Código referente a la nomenclatura utilizada por el Registro Nacional u otro organismo similar en el extranjero cuando exista [el número de finca, número de placa, matrícula de buques, etc].  El formato cuando tiene nomenclatura utilizada por el Registro Nacional se explica mediante los siguientes ejemplos:
</t>
    </r>
    <r>
      <rPr>
        <b/>
        <u/>
        <sz val="11"/>
        <color theme="1"/>
        <rFont val="Cambria"/>
        <family val="1"/>
      </rPr>
      <t>Bienes Inmuebles.</t>
    </r>
    <r>
      <rPr>
        <sz val="11"/>
        <color theme="1"/>
        <rFont val="Cambria"/>
        <family val="1"/>
      </rPr>
      <t xml:space="preserve">
Finca:  </t>
    </r>
    <r>
      <rPr>
        <b/>
        <sz val="11"/>
        <color rgb="FF0070C0"/>
        <rFont val="Cambria"/>
        <family val="1"/>
      </rPr>
      <t>1</t>
    </r>
    <r>
      <rPr>
        <b/>
        <sz val="11"/>
        <color rgb="FFC00000"/>
        <rFont val="Cambria"/>
        <family val="1"/>
      </rPr>
      <t xml:space="preserve">123456 </t>
    </r>
    <r>
      <rPr>
        <sz val="11"/>
        <color theme="1"/>
        <rFont val="Cambria"/>
        <family val="1"/>
      </rPr>
      <t xml:space="preserve"> (terreno situado en la provincia de San José) Donde </t>
    </r>
    <r>
      <rPr>
        <b/>
        <sz val="11"/>
        <color rgb="FF0070C0"/>
        <rFont val="Cambria"/>
        <family val="1"/>
      </rPr>
      <t>1</t>
    </r>
    <r>
      <rPr>
        <sz val="11"/>
        <color theme="1"/>
        <rFont val="Cambria"/>
        <family val="1"/>
      </rPr>
      <t xml:space="preserve"> es el codigo de la provincia [del 1 al 7] y </t>
    </r>
    <r>
      <rPr>
        <b/>
        <sz val="11"/>
        <color rgb="FFC00000"/>
        <rFont val="Cambria"/>
        <family val="1"/>
      </rPr>
      <t>123456</t>
    </r>
    <r>
      <rPr>
        <sz val="11"/>
        <color theme="1"/>
        <rFont val="Cambria"/>
        <family val="1"/>
      </rPr>
      <t xml:space="preserve"> es el codigo del bien asignado en el registro publico.
</t>
    </r>
    <r>
      <rPr>
        <b/>
        <vertAlign val="superscript"/>
        <sz val="11"/>
        <color rgb="FF0070C0"/>
        <rFont val="Cambria"/>
        <family val="1"/>
      </rPr>
      <t>1/</t>
    </r>
    <r>
      <rPr>
        <sz val="11"/>
        <color theme="1"/>
        <rFont val="Cambria"/>
        <family val="1"/>
      </rPr>
      <t xml:space="preserve">Los codigos de las provincias y de las clases de bien se encuentran en la pagina web del Registro Nacional.
</t>
    </r>
    <r>
      <rPr>
        <b/>
        <vertAlign val="superscript"/>
        <sz val="11"/>
        <color rgb="FFC00000"/>
        <rFont val="Cambria"/>
        <family val="1"/>
      </rPr>
      <t>2/</t>
    </r>
    <r>
      <rPr>
        <sz val="11"/>
        <color theme="1"/>
        <rFont val="Cambria"/>
        <family val="1"/>
      </rPr>
      <t xml:space="preserve">La identificacion de las placas de los automoviles deben contener seis caracteres numericos o alfanumericos por lo que en caso que la placa contenga menos caracteres se debe completar con ceros a la izquierda.
</t>
    </r>
    <r>
      <rPr>
        <b/>
        <u/>
        <sz val="11"/>
        <color theme="1"/>
        <rFont val="Cambria"/>
        <family val="1"/>
      </rPr>
      <t xml:space="preserve">Bienes Muebles
</t>
    </r>
    <r>
      <rPr>
        <sz val="11"/>
        <color theme="1"/>
        <rFont val="Cambria"/>
        <family val="1"/>
      </rPr>
      <t xml:space="preserve">Vehículo: </t>
    </r>
    <r>
      <rPr>
        <b/>
        <sz val="11"/>
        <color rgb="FF0070C0"/>
        <rFont val="Cambria"/>
        <family val="1"/>
      </rPr>
      <t>TC</t>
    </r>
    <r>
      <rPr>
        <b/>
        <sz val="11"/>
        <color rgb="FFC00000"/>
        <rFont val="Cambria"/>
        <family val="1"/>
      </rPr>
      <t>000123</t>
    </r>
    <r>
      <rPr>
        <sz val="11"/>
        <color theme="1"/>
        <rFont val="Cambria"/>
        <family val="1"/>
      </rPr>
      <t xml:space="preserve"> (placa de un Taxi de Cartago)
Vehiculo: </t>
    </r>
    <r>
      <rPr>
        <b/>
        <sz val="11"/>
        <color rgb="FF0070C0"/>
        <rFont val="Cambria"/>
        <family val="1"/>
      </rPr>
      <t>TC</t>
    </r>
    <r>
      <rPr>
        <b/>
        <sz val="11"/>
        <color rgb="FFC00000"/>
        <rFont val="Cambria"/>
        <family val="1"/>
      </rPr>
      <t xml:space="preserve">000123 </t>
    </r>
    <r>
      <rPr>
        <sz val="11"/>
        <color theme="1"/>
        <rFont val="Cambria"/>
        <family val="1"/>
      </rPr>
      <t xml:space="preserve">Donde </t>
    </r>
    <r>
      <rPr>
        <b/>
        <sz val="11"/>
        <color rgb="FF0070C0"/>
        <rFont val="Cambria"/>
        <family val="1"/>
      </rPr>
      <t>TC</t>
    </r>
    <r>
      <rPr>
        <sz val="11"/>
        <color theme="1"/>
        <rFont val="Cambria"/>
        <family val="1"/>
      </rPr>
      <t xml:space="preserve"> codigo clase de bien segun registro publico y </t>
    </r>
    <r>
      <rPr>
        <b/>
        <sz val="11"/>
        <color rgb="FFC00000"/>
        <rFont val="Cambria"/>
        <family val="1"/>
      </rPr>
      <t>000123</t>
    </r>
    <r>
      <rPr>
        <sz val="11"/>
        <color theme="1"/>
        <rFont val="Cambria"/>
        <family val="1"/>
      </rPr>
      <t xml:space="preserve"> numero de placa.
En el caso de carros particulares, no existe un código clase del bien, por lo tanto se registraría solo el número de placa sea este numérico o alfanumérico .  Cuando el automóvil es nuevo y aún no existe placa temporal se debe reportar el VIN (17 dígitos).
Buque: </t>
    </r>
    <r>
      <rPr>
        <b/>
        <sz val="11"/>
        <color rgb="FF0070C0"/>
        <rFont val="Cambria"/>
        <family val="1"/>
      </rPr>
      <t>GPC</t>
    </r>
    <r>
      <rPr>
        <b/>
        <sz val="11"/>
        <color rgb="FFC00000"/>
        <rFont val="Cambria"/>
        <family val="1"/>
      </rPr>
      <t xml:space="preserve">001234  </t>
    </r>
    <r>
      <rPr>
        <sz val="11"/>
        <rFont val="Cambria"/>
        <family val="1"/>
      </rPr>
      <t>(placa del bueque)</t>
    </r>
    <r>
      <rPr>
        <sz val="11"/>
        <color theme="1"/>
        <rFont val="Cambria"/>
        <family val="1"/>
      </rPr>
      <t xml:space="preserve">
Buque: </t>
    </r>
    <r>
      <rPr>
        <b/>
        <sz val="11"/>
        <color rgb="FF0070C0"/>
        <rFont val="Cambria"/>
        <family val="1"/>
      </rPr>
      <t>GPC</t>
    </r>
    <r>
      <rPr>
        <b/>
        <sz val="11"/>
        <color rgb="FFC00000"/>
        <rFont val="Cambria"/>
        <family val="1"/>
      </rPr>
      <t>001234</t>
    </r>
    <r>
      <rPr>
        <sz val="11"/>
        <color rgb="FFC00000"/>
        <rFont val="Cambria"/>
        <family val="1"/>
      </rPr>
      <t xml:space="preserve"> </t>
    </r>
    <r>
      <rPr>
        <sz val="11"/>
        <color theme="1"/>
        <rFont val="Cambria"/>
        <family val="1"/>
      </rPr>
      <t xml:space="preserve">Donde </t>
    </r>
    <r>
      <rPr>
        <b/>
        <sz val="11"/>
        <color rgb="FF0070C0"/>
        <rFont val="Cambria"/>
        <family val="1"/>
      </rPr>
      <t>GPC</t>
    </r>
    <r>
      <rPr>
        <sz val="11"/>
        <color theme="1"/>
        <rFont val="Cambria"/>
        <family val="1"/>
      </rPr>
      <t xml:space="preserve"> codigo clase de bien segun registro publico y </t>
    </r>
    <r>
      <rPr>
        <b/>
        <sz val="11"/>
        <color rgb="FFC00000"/>
        <rFont val="Cambria"/>
        <family val="1"/>
      </rPr>
      <t>001234</t>
    </r>
    <r>
      <rPr>
        <sz val="11"/>
        <color theme="1"/>
        <rFont val="Cambria"/>
        <family val="1"/>
      </rPr>
      <t xml:space="preserve"> numero de placa.
Cuando no exista nomenclatura del Registro Nacional u otro organismo similar en el extranjero, se debe reportar el código que asigna la entidad financiera a cada bien, conjunto de bienes o valor recibido en garantía.Los bienes sujetos a inscripción en el Registro Nacional deben reportarse en forma separada.
</t>
    </r>
  </si>
  <si>
    <t>TipoBienGarantiaReal</t>
  </si>
  <si>
    <r>
      <t xml:space="preserve">
Código del tipo de bien recibido en garantía
--------------------------------------------------
</t>
    </r>
    <r>
      <rPr>
        <b/>
        <sz val="11"/>
        <color rgb="FF0070C0"/>
        <rFont val="Cambria"/>
        <family val="1"/>
      </rPr>
      <t>Referirse a la tabla: Tipo_Bien</t>
    </r>
    <r>
      <rPr>
        <sz val="11"/>
        <color theme="1"/>
        <rFont val="Cambria"/>
        <family val="1"/>
      </rPr>
      <t xml:space="preserve">
</t>
    </r>
  </si>
  <si>
    <t>MontoUltimaTasacionTerreno</t>
  </si>
  <si>
    <t>1 a 20 enteros 2 decimales</t>
  </si>
  <si>
    <t xml:space="preserve">
Monto de la última tasación que corresponde únicamente al valor del terreno dado en garantía.
El Monto debe venir colonizado al tipo de cambio de referencia de la fecha de realización del avalúo.
</t>
  </si>
  <si>
    <t>MontoUltimaTasaciónNoTerreno</t>
  </si>
  <si>
    <t xml:space="preserve">
Monto de la última tasación realizada cuando la garantía está conformada por un bien mueble o inmueble.  
Cuando se trate de equipo de cómputo, en este campo debe indicarse el valor original del equipo.
El Monto debe venir colonizado al tipo de cambio de referencia de la fecha de realización del avalúo y debe excluir el valor del terreno cuando corresponda.
</t>
  </si>
  <si>
    <t>FechaUltimaTasacionGarantia</t>
  </si>
  <si>
    <t xml:space="preserve">
Fecha consignada en informe escrito firmado por el profesional responsable, en la que se realizó la última tasación del bien. 
De acuerdo con lo indicado en el artículo 12 del  Decreto Ejecutivo Nº 35298-MOPT Aranceles por servicios de peritaje y avalúos del Colegio Federado de Ingenieros y Arquitectos (CFIA) de Costa Rica Publicado en el Diario Oficial  La Gaceta Nº 116 del 17 de junio de 2009. 
</t>
  </si>
  <si>
    <t>FechaUltimoSeguimientoGarantia</t>
  </si>
  <si>
    <t xml:space="preserve">
Se debe indicar la fecha en que se realizó el último seguimiento y control del estado de la garantía.
Cuando no existe seguimiento y control de la garantía se debe indicar la fecha del último avalúo.
</t>
  </si>
  <si>
    <t>TipoMonedaTasacion</t>
  </si>
  <si>
    <t xml:space="preserve">1 a 6 </t>
  </si>
  <si>
    <r>
      <t xml:space="preserve">
Código del tipo de moneda en la cual se realizó el avalúo del bien.
------------------------------------------------------
</t>
    </r>
    <r>
      <rPr>
        <b/>
        <sz val="11"/>
        <color rgb="FF0070C0"/>
        <rFont val="Cambria"/>
        <family val="1"/>
      </rPr>
      <t>Referirse a la tabla: Tipo_Moneda</t>
    </r>
    <r>
      <rPr>
        <sz val="11"/>
        <color theme="1"/>
        <rFont val="Cambria"/>
        <family val="1"/>
      </rPr>
      <t xml:space="preserve">
</t>
    </r>
  </si>
  <si>
    <t>FechaConstruccion</t>
  </si>
  <si>
    <t xml:space="preserve">
Se debe indicar la fecha de construcción de la edificación.
En el caso de bienes muebles se debe indicar el año de fabricación.
</t>
  </si>
  <si>
    <t>TipoPersonaTasador</t>
  </si>
  <si>
    <r>
      <t xml:space="preserve">
Código de tipo de persona referido en el campo “IdTasador”, y éste solo solo puede ser: 1 ó 2 ó 3 ó 4 ó 5 ó 6 ó 13.
------------------------------------------------------
</t>
    </r>
    <r>
      <rPr>
        <b/>
        <sz val="11"/>
        <color rgb="FF0070C0"/>
        <rFont val="Cambria"/>
        <family val="1"/>
      </rPr>
      <t>Referirse a la tabla Tipo_Persona</t>
    </r>
    <r>
      <rPr>
        <sz val="11"/>
        <color theme="1"/>
        <rFont val="Cambria"/>
        <family val="1"/>
      </rPr>
      <t xml:space="preserve">
</t>
    </r>
  </si>
  <si>
    <t>IdTasador</t>
  </si>
  <si>
    <t xml:space="preserve">
Corresponde a la identificación de la persona que realiza la tasación independientemente si labora en una persona jurídica.
</t>
  </si>
  <si>
    <t>TipoPersonaEmpresaTasadora</t>
  </si>
  <si>
    <r>
      <t xml:space="preserve">
Código de tipo de persona referido en el campo “IdEmpresaTasadora”</t>
    </r>
    <r>
      <rPr>
        <sz val="11"/>
        <color rgb="FF00B050"/>
        <rFont val="Cambria"/>
        <family val="1"/>
      </rPr>
      <t>,</t>
    </r>
    <r>
      <rPr>
        <sz val="11"/>
        <color theme="1"/>
        <rFont val="Cambria"/>
        <family val="1"/>
      </rPr>
      <t xml:space="preserve"> y éste solo solo puede ser: 1 ó 2 ó 3 ó 4 ó 5 ó 6 ó 13.
------------------------------------------------------
</t>
    </r>
    <r>
      <rPr>
        <b/>
        <sz val="11"/>
        <color rgb="FF0070C0"/>
        <rFont val="Cambria"/>
        <family val="1"/>
      </rPr>
      <t>Referirse a la tabla Tipo_Persona</t>
    </r>
    <r>
      <rPr>
        <sz val="11"/>
        <color theme="1"/>
        <rFont val="Cambria"/>
        <family val="1"/>
      </rPr>
      <t xml:space="preserve">
</t>
    </r>
  </si>
  <si>
    <t>IdEmpresaTasadora</t>
  </si>
  <si>
    <t xml:space="preserve">
Corresponde a la identificación de la persona jurídica que realiza la tasación 
</t>
  </si>
  <si>
    <t>IndicadorPolizaGarantiaReal</t>
  </si>
  <si>
    <r>
      <t xml:space="preserve">
Indicador de si el bien dado en garantía en la operación de crédito tiene póliza de seguro a favor de la entidad financiera.  
------------------------------------------------------
</t>
    </r>
    <r>
      <rPr>
        <b/>
        <sz val="11"/>
        <color rgb="FF0070C0"/>
        <rFont val="Cambria"/>
        <family val="1"/>
      </rPr>
      <t>Los posibles valores son ‘S’ si consta, o ‘N’ no consta.</t>
    </r>
    <r>
      <rPr>
        <sz val="11"/>
        <color theme="1"/>
        <rFont val="Cambria"/>
        <family val="1"/>
      </rPr>
      <t xml:space="preserve">
</t>
    </r>
  </si>
  <si>
    <t>TipoColateralReal</t>
  </si>
  <si>
    <r>
      <t xml:space="preserve">
Código del tipo del colateal real.   Responde lo indicado en inciso a. del art. 19 del Reglamenbto de Estimaciones Crediticias.
</t>
    </r>
    <r>
      <rPr>
        <b/>
        <sz val="11"/>
        <color theme="1"/>
        <rFont val="Cambria"/>
        <family val="1"/>
      </rPr>
      <t>Se exeptuan las garantías de las operaciones realizadas bajo la Ley 9274 y su Reglamento (Acuerdo SUGEF 15-16),  estas deben ser reportadas con el valor "0" en este campo.</t>
    </r>
    <r>
      <rPr>
        <sz val="11"/>
        <rFont val="Cambria"/>
        <family val="1"/>
      </rPr>
      <t xml:space="preserve">
------------------------------------------------------
</t>
    </r>
    <r>
      <rPr>
        <b/>
        <sz val="11"/>
        <color rgb="FF0070C0"/>
        <rFont val="Cambria"/>
        <family val="1"/>
      </rPr>
      <t>Referirse a la tabla: Tipo_Colateral_Real</t>
    </r>
    <r>
      <rPr>
        <sz val="11"/>
        <rFont val="Cambria"/>
        <family val="1"/>
      </rPr>
      <t xml:space="preserve">
</t>
    </r>
  </si>
  <si>
    <t>TIPO COLATERAL REAL</t>
  </si>
  <si>
    <t>PorcentajeRecuperacionColateralReal</t>
  </si>
  <si>
    <t>1 a 3 enteros 2 decimales</t>
  </si>
  <si>
    <r>
      <t xml:space="preserve">
Debe indicarse el Porcentaje de Recuperación de acuerdo al código indicado en el campo Tipo Colateral Real.
</t>
    </r>
    <r>
      <rPr>
        <b/>
        <sz val="11"/>
        <color theme="1"/>
        <rFont val="Cambria"/>
        <family val="1"/>
      </rPr>
      <t>Se exeptuan las garantías de las operaciones realizadas bajo la Ley 9274 y su Reglamento (Acuerdo SUGEF 15-16),  estas deben ser reportadas con el valor "0" en este campo.</t>
    </r>
    <r>
      <rPr>
        <sz val="11"/>
        <color theme="1"/>
        <rFont val="Cambria"/>
        <family val="1"/>
      </rPr>
      <t xml:space="preserve">
</t>
    </r>
    <r>
      <rPr>
        <sz val="11"/>
        <rFont val="Cambria"/>
        <family val="1"/>
      </rPr>
      <t xml:space="preserve">
--------------------------------------------------
</t>
    </r>
    <r>
      <rPr>
        <b/>
        <sz val="11"/>
        <color rgb="FF0070C0"/>
        <rFont val="Cambria"/>
        <family val="1"/>
      </rPr>
      <t>Referirse a la tabla: Tipo_Colateral_Real</t>
    </r>
    <r>
      <rPr>
        <sz val="11"/>
        <rFont val="Cambria"/>
        <family val="1"/>
      </rPr>
      <t xml:space="preserve">
</t>
    </r>
  </si>
  <si>
    <t>Tiempo</t>
  </si>
  <si>
    <t>1 a 2 enteros 2 decimales</t>
  </si>
  <si>
    <t>PorcentajeFactorDescuentoTiempo</t>
  </si>
  <si>
    <r>
      <t xml:space="preserve">
Debe indicarse el porcentaje que le corresponda de acuerdo al código indicado en el campo factor descuento tiempo desde ultima valorizacion colateral real.
</t>
    </r>
    <r>
      <rPr>
        <b/>
        <sz val="11"/>
        <color theme="1"/>
        <rFont val="Cambria"/>
        <family val="1"/>
      </rPr>
      <t xml:space="preserve">Se exeptuan las garantías de las operaciones realizadas bajo la Ley 9274 y su Reglamento (Acuerdo SUGEF 15-16),  estas deben ser reportadas con el valor "0" en este campo.
</t>
    </r>
    <r>
      <rPr>
        <sz val="11"/>
        <rFont val="Cambria"/>
        <family val="1"/>
      </rPr>
      <t xml:space="preserve">
--------------------------------------------------
</t>
    </r>
    <r>
      <rPr>
        <b/>
        <sz val="11"/>
        <color rgb="FF0070C0"/>
        <rFont val="Cambria"/>
        <family val="1"/>
      </rPr>
      <t>Refierase a la tabla: Tipo Colateral Real</t>
    </r>
    <r>
      <rPr>
        <sz val="11"/>
        <rFont val="Cambria"/>
        <family val="1"/>
      </rPr>
      <t xml:space="preserve">
</t>
    </r>
  </si>
  <si>
    <t>0 a 4</t>
  </si>
  <si>
    <r>
      <t xml:space="preserve">
Código del País de la garantía real.
-----------------------------------------------------------------
</t>
    </r>
    <r>
      <rPr>
        <b/>
        <sz val="11"/>
        <color rgb="FFFF0000"/>
        <rFont val="Cambria"/>
        <family val="1"/>
      </rPr>
      <t xml:space="preserve">Utilizar los códigos ISO 3166-2 </t>
    </r>
    <r>
      <rPr>
        <sz val="11"/>
        <color rgb="FFFF0000"/>
        <rFont val="Cambria"/>
        <family val="1"/>
      </rPr>
      <t xml:space="preserve">
</t>
    </r>
  </si>
  <si>
    <r>
      <t xml:space="preserve">
Código de la provincia de la garantía real.
-----------------------------------------------------------------
</t>
    </r>
    <r>
      <rPr>
        <b/>
        <sz val="11"/>
        <color rgb="FFFF0000"/>
        <rFont val="Cambria"/>
        <family val="1"/>
      </rPr>
      <t>Referirse a la tabla: Provincia</t>
    </r>
    <r>
      <rPr>
        <sz val="11"/>
        <color rgb="FFFF0000"/>
        <rFont val="Cambria"/>
        <family val="1"/>
      </rPr>
      <t xml:space="preserve">
</t>
    </r>
  </si>
  <si>
    <r>
      <t xml:space="preserve">
Código del cantón de la garantía real.
-----------------------------------------------------------------
</t>
    </r>
    <r>
      <rPr>
        <b/>
        <sz val="11"/>
        <color rgb="FFFF0000"/>
        <rFont val="Cambria"/>
        <family val="1"/>
      </rPr>
      <t>Referirse a la tabla: Canton</t>
    </r>
    <r>
      <rPr>
        <sz val="11"/>
        <color rgb="FFFF0000"/>
        <rFont val="Cambria"/>
        <family val="1"/>
      </rPr>
      <t xml:space="preserve">
</t>
    </r>
  </si>
  <si>
    <r>
      <t xml:space="preserve">
Código del distrito de la garantía real
-----------------------------------------------------------------
</t>
    </r>
    <r>
      <rPr>
        <b/>
        <sz val="11"/>
        <color rgb="FFFF0000"/>
        <rFont val="Cambria"/>
        <family val="1"/>
      </rPr>
      <t>Referirse a la tabla: Distrito</t>
    </r>
    <r>
      <rPr>
        <sz val="11"/>
        <color rgb="FFFF0000"/>
        <rFont val="Cambria"/>
        <family val="1"/>
      </rPr>
      <t xml:space="preserve">
</t>
    </r>
  </si>
  <si>
    <t>&lt;LatitudGarantiaReal/&gt;</t>
  </si>
  <si>
    <t>Se debe de indicar la coordenada de la latitud de la garantía real.
Cómo ejemplo la coordenada de la latitud para Costa Rica es 09°55´57N¨.</t>
  </si>
  <si>
    <t>&lt;LongitudGarantiaReal/&gt;</t>
  </si>
  <si>
    <t>Se debe de indicar la coordenada de la longitud de la garantía real.
Cómo ejemplo la coordenada de la longitud para Costa Rica es 84°04´46O¨</t>
  </si>
  <si>
    <r>
      <t xml:space="preserve">
El Tiempo es medido en años, entre la fecha de la última valorización o tasación disponible y la fecha de corte.   El valor mínimo debe ser 1 (uno).
</t>
    </r>
    <r>
      <rPr>
        <b/>
        <sz val="11"/>
        <color theme="1"/>
        <rFont val="Cambria"/>
        <family val="1"/>
      </rPr>
      <t xml:space="preserve">Se exeptuan las garantías de las operaciones realizadas bajo la Ley 9274 y su Reglamento (Acuerdo SUGEF 15-16),  estas deben ser reportadas con el valor </t>
    </r>
    <r>
      <rPr>
        <b/>
        <sz val="16"/>
        <color theme="1"/>
        <rFont val="Cambria"/>
        <family val="1"/>
      </rPr>
      <t>"1"</t>
    </r>
    <r>
      <rPr>
        <b/>
        <sz val="11"/>
        <color theme="1"/>
        <rFont val="Cambria"/>
        <family val="1"/>
      </rPr>
      <t xml:space="preserve"> en este campo.</t>
    </r>
    <r>
      <rPr>
        <sz val="11"/>
        <rFont val="Cambria"/>
        <family val="1"/>
      </rPr>
      <t xml:space="preserve">
</t>
    </r>
  </si>
  <si>
    <t>VALIDACIONES PARA ARCHIVO DE INFORMACIÓN DE DE GARANTÍAS REALES</t>
  </si>
  <si>
    <t xml:space="preserve">
Los campos “TipoPersonaTasador”, “IdTasador”, “TipoPersonaEmpresaTasadora”, “IdEmpresaTasadora”, deben corresponder con el padrón de personas de la SUGEF.
</t>
  </si>
  <si>
    <t xml:space="preserve">
Cuando el campo “TipoBienGarantiaReal” tiene el valor “1 Terreno”, el campo “MontoUltimaTasacionTerreno” debe ser mayor que cero.
</t>
  </si>
  <si>
    <t xml:space="preserve">
Cuando el campo “TipoBienGarantiaReal” tiene uno de los valores 2, 3 ó 5,  debe reportarse el campo “FechaConstruccion”.
</t>
  </si>
  <si>
    <t xml:space="preserve">
Cuando el dato del campo “TipoBienGarantiaReal” corresponda a los códigos del 3 al 14 el dato del campo  “MontoUltimaTasacionNoTerreno”  debe ser mayor que cero.
</t>
  </si>
  <si>
    <t xml:space="preserve">
Cuando el dato del campo “TipoBienGarantiaReal ” corresponda a  los códigos del 3 al 14 el dato del campo  “MontoUltimaTasacionTerreno” debe ser cero. 
</t>
  </si>
  <si>
    <t xml:space="preserve">
Cuando el campo “TipoBienGarantiaReal” del archivo Garantías Reales tiene el valor 1 [Terreno], el campo “MontoUltimaTasacionNoTerreno” debe ser  cero. 
</t>
  </si>
  <si>
    <t xml:space="preserve">
El dato “FechaUltimoSeguimientoGarantia” No debe ser posterior al último día del corte de la información.
</t>
  </si>
  <si>
    <t xml:space="preserve">
El dato “FechaUltimaTasacionGarantia” No debe ser posterior al último día del corte de la información.
</t>
  </si>
  <si>
    <t xml:space="preserve">
El valor que se registre en los campos   “PorcentajeRecuperacionColateralReal” y 
“PorcentajeFactorDescuentoTiempo”, debe corresponder al valor establecido en la Tabla Tipo_Colateral_Real de acuerdo al código indicado en el campo  “TipoColateralReal”.
</t>
  </si>
  <si>
    <r>
      <rPr>
        <sz val="11"/>
        <rFont val="Cambria"/>
        <family val="1"/>
      </rPr>
      <t xml:space="preserve">Cuando el TipoColateralReal es  diferente de "0", el dato del campo "Tiempo" debe ser igual a la diferencia, entre el último día de la fecha corte y el valor del campo  “FechaUltimaTasacionGarantia”; el resultado deber ser expresado en años, siendo el valor mínimo 1.
</t>
    </r>
  </si>
  <si>
    <t xml:space="preserve">
Cuando el campo "IndicadorPolizaGarantiaReal" indica "S", el IdGarantiaReal debe existir en el Archivo Pólizas.
</t>
  </si>
  <si>
    <t>Los campos  "MontoUltimaTasacionTerreno" y " MontoUltimaTasacionNoTerreno" No deben permitir datos negativos.</t>
  </si>
  <si>
    <t>El campo "TipoColateralReal" debe existir en la tabla "TIPO_COLATERAL_REAL_NEC2024" y debe estar activo.</t>
  </si>
  <si>
    <t>El campo "TipoMonedaTasacion" debe existir en la tabla "TIPO_MONEDA" y debe estar activo.</t>
  </si>
  <si>
    <t>El campo "TipoBienGarantiaReal" debe existir en la tabla "TIPO_BIEN" y debe estar activo.</t>
  </si>
  <si>
    <t>El campo “IdGarantiaReal” no debe repetirse.</t>
  </si>
  <si>
    <t>20.</t>
  </si>
  <si>
    <t>ARCHIVO DE LA INFORMACIÓN DE GARANTÍAS VALORES</t>
  </si>
  <si>
    <t>Este archivo contiene los valores necesarios para realizar la carga de la información de las garantías de valores mitigadoras de riesgo. Adicionalmente, las entidades deben reportar las acciones emitidas por la entidad y que a la vez son recibidas en garantía de sus operaciones crediticias directas e indirectas con personas deudoras sean estas físicas o jurídicas.</t>
  </si>
  <si>
    <t>En el caso que se presente una fusión de entidades financieras o cambio en la razón social, los datos que se reportan en este archivo deben ser de la entidad prevaleciente o de la nueva razón social del emisor en el campo IdEmisor. Los datos que se han reportado históricamente y que aún estén vigentes, se deben actualizar modificando el nuevo “IdEmisor”, aplicando el procedimiento que se indica en la Metodología de Uso de los archivos.</t>
  </si>
  <si>
    <r>
      <t xml:space="preserve">El formato de envío para esta información se encuentra en el archivo físico: </t>
    </r>
    <r>
      <rPr>
        <b/>
        <sz val="11"/>
        <color rgb="FF0070C0"/>
        <rFont val="Cambria"/>
        <family val="1"/>
      </rPr>
      <t>NEC2024_GarantiasValores.xml [5206]</t>
    </r>
    <r>
      <rPr>
        <sz val="11"/>
        <color theme="1"/>
        <rFont val="Cambria"/>
        <family val="1"/>
      </rPr>
      <t xml:space="preserve">, estado </t>
    </r>
    <r>
      <rPr>
        <b/>
        <sz val="11"/>
        <color rgb="FF0070C0"/>
        <rFont val="Cambria"/>
        <family val="1"/>
      </rPr>
      <t>Activo</t>
    </r>
    <r>
      <rPr>
        <sz val="11"/>
        <color theme="1"/>
        <rFont val="Cambria"/>
        <family val="1"/>
      </rPr>
      <t>.</t>
    </r>
  </si>
  <si>
    <t>ESTRUCTURA DEL ARCHIVO VALORES</t>
  </si>
  <si>
    <t>&lt;IdGarantiaValor/&gt;</t>
  </si>
  <si>
    <t>&lt;TipoClasificacionInstrumento/&gt;</t>
  </si>
  <si>
    <t>&lt;IdEmisor/&gt;</t>
  </si>
  <si>
    <t>&lt;IdInstrumento/&gt;</t>
  </si>
  <si>
    <t>&lt;SerieInstrumento/&gt;</t>
  </si>
  <si>
    <t>&lt;Premio/&gt;</t>
  </si>
  <si>
    <t>&lt;CodigoISIN/&gt;</t>
  </si>
  <si>
    <t>&lt;CodigoEmpresaCalificadora /&gt;</t>
  </si>
  <si>
    <t>&lt;ValorFacial/&gt;</t>
  </si>
  <si>
    <t>&lt;TipoMonedaValorFacial /&gt;</t>
  </si>
  <si>
    <t>&lt;ValorMercado/&gt;</t>
  </si>
  <si>
    <t>&lt;TipoMonedaValorMercado/&gt;</t>
  </si>
  <si>
    <t>&lt;TipoColateralfinanciero /&gt;</t>
  </si>
  <si>
    <t xml:space="preserve">&lt;CodigoCalificacionInstrumento  /&gt;  </t>
  </si>
  <si>
    <t>CAMPO LLAVE DEL ARCHIVO GARANTÍAS VALORES</t>
  </si>
  <si>
    <r>
      <t xml:space="preserve">El campo llave del archivo de garantías valores es: </t>
    </r>
    <r>
      <rPr>
        <b/>
        <sz val="11"/>
        <color rgb="FF0070C0"/>
        <rFont val="Cambria"/>
        <family val="1"/>
      </rPr>
      <t>IdGarantiaValor</t>
    </r>
    <r>
      <rPr>
        <sz val="11"/>
        <color theme="1"/>
        <rFont val="Cambria"/>
        <family val="1"/>
      </rPr>
      <t>.</t>
    </r>
  </si>
  <si>
    <t>CAMPOS DEL ARCHIVO DE INFORMACIÓN DE LA CLASE GARANTIAS VALORES</t>
  </si>
  <si>
    <t>Columna1</t>
  </si>
  <si>
    <t>IdGarantiaValor</t>
  </si>
  <si>
    <t>Sí</t>
  </si>
  <si>
    <r>
      <t xml:space="preserve">
</t>
    </r>
    <r>
      <rPr>
        <b/>
        <sz val="11"/>
        <color theme="1"/>
        <rFont val="Cambria"/>
        <family val="1"/>
      </rPr>
      <t>Código con el cual se identifica el instrumento:</t>
    </r>
    <r>
      <rPr>
        <sz val="11"/>
        <color theme="1"/>
        <rFont val="Cambria"/>
        <family val="1"/>
      </rPr>
      <t xml:space="preserve">
  a)   Cuando se trata de un instrumento cuyo campo “CodigoISIN” tiene un valor distinto de “NO” se debe 
         indicar lo mismo que en el campo “CodigoISIN”.
  b)   Cuando se trata de un instrumento cuyo campo “CodigoISIN” tiene el valor “NO” se debe indicar el 
          código que utiliza la entidad para identificar al título o al depósito en cuenta de ahorro o corriente  
</t>
    </r>
  </si>
  <si>
    <t>TipoClasificacionInstrumento</t>
  </si>
  <si>
    <r>
      <t xml:space="preserve">
Corresponde a la condición de negociable o no negociable en bolsa, Fondo de Inversión o Certificado de Inversión.
--------------------------------------------------
</t>
    </r>
    <r>
      <rPr>
        <b/>
        <sz val="11"/>
        <color rgb="FF0070C0"/>
        <rFont val="Cambria"/>
        <family val="1"/>
      </rPr>
      <t>Referirse a la Tabla: Tipo_Clasificacion_Instrumento</t>
    </r>
    <r>
      <rPr>
        <sz val="11"/>
        <color theme="1"/>
        <rFont val="Cambria"/>
        <family val="1"/>
      </rPr>
      <t xml:space="preserve">
</t>
    </r>
  </si>
  <si>
    <r>
      <t xml:space="preserve">
Código de tipo de persona reportado en el campo “IdEmisor” , y éste solo solo puede ser: 1 ó 2 ó 3 ó 4 ó 5 ó 6 ó 13.
--------------------------------------------------
</t>
    </r>
    <r>
      <rPr>
        <b/>
        <sz val="11"/>
        <color rgb="FF0070C0"/>
        <rFont val="Cambria"/>
        <family val="1"/>
      </rPr>
      <t>Referirse a la tabla Tipo_Persona.</t>
    </r>
    <r>
      <rPr>
        <sz val="11"/>
        <color theme="1"/>
        <rFont val="Cambria"/>
        <family val="1"/>
      </rPr>
      <t xml:space="preserve">
</t>
    </r>
  </si>
  <si>
    <t>IdEmisor</t>
  </si>
  <si>
    <t>0 a 30</t>
  </si>
  <si>
    <t xml:space="preserve">
Si la clasificación del Instrumento es 0, 1, 2, 3 ó 4   indicar el Nemotécnico del Emisor. En el caso de Fondos de Inversión  Nacionales, indicar el Nemotécnico asignado a cada Fondo por la SUGEVAL. 
Si la clasificación del Instrumento es 5 y el emisor es una Entidad Financiera Nacional, se debe indicar la cédula jurídica y si es una Entidad Financiera extranjera se debe utilizar el código ABA (entidad de USA), código SWIFT (cualquier otro país).
Si la clasificación del instrumento es 6 este campo debe venir vacío.
Si la clasificación del Instrumento es 7 se debe indicar la cédula jurídica.
</t>
  </si>
  <si>
    <t>IdInstrumento</t>
  </si>
  <si>
    <r>
      <t xml:space="preserve">
Si la clasificación del Instrumento es 0, 1, 2, 3, 4 o 7 (cuando aplica) indicar el Nemotécnico del Instrumento y cumplir con lo siguiente:
</t>
    </r>
    <r>
      <rPr>
        <b/>
        <sz val="11"/>
        <color rgb="FF0070C0"/>
        <rFont val="Cambria"/>
        <family val="1"/>
      </rPr>
      <t>a)</t>
    </r>
    <r>
      <rPr>
        <sz val="11"/>
        <color theme="1"/>
        <rFont val="Cambria"/>
        <family val="1"/>
      </rPr>
      <t xml:space="preserve"> </t>
    </r>
    <r>
      <rPr>
        <b/>
        <sz val="11"/>
        <color theme="1"/>
        <rFont val="Cambria"/>
        <family val="1"/>
      </rPr>
      <t>Cuando la clasificación del instrumento es 0</t>
    </r>
    <r>
      <rPr>
        <sz val="11"/>
        <color theme="1"/>
        <rFont val="Cambria"/>
        <family val="1"/>
      </rPr>
      <t xml:space="preserve">: se debe indicar el nemotécnico del instrumento asignado por la Bolsa Nacional de Valores de Costa Rica (BNV CR).
</t>
    </r>
    <r>
      <rPr>
        <b/>
        <sz val="11"/>
        <color rgb="FF0070C0"/>
        <rFont val="Cambria"/>
        <family val="1"/>
      </rPr>
      <t>b)</t>
    </r>
    <r>
      <rPr>
        <sz val="11"/>
        <color theme="1"/>
        <rFont val="Cambria"/>
        <family val="1"/>
      </rPr>
      <t xml:space="preserve"> </t>
    </r>
    <r>
      <rPr>
        <b/>
        <sz val="11"/>
        <color theme="1"/>
        <rFont val="Cambria"/>
        <family val="1"/>
      </rPr>
      <t>Cuando la clasificación del instrumento es 1</t>
    </r>
    <r>
      <rPr>
        <sz val="11"/>
        <color theme="1"/>
        <rFont val="Cambria"/>
        <family val="1"/>
      </rPr>
      <t xml:space="preserve">: si el título valor no está negociado en la BNV CR se debe indicar “VEX” (Valor extranjero).  Si posteriormente ese título pasa a ser negociado en la BNV CR se debe indicar el nemotécnico del instrumento que asignó esa bolsa. Si el título valor también se negocia en la BNV CR se debe indicar el nemotécnico del instrumento que asignó la BNV CR.
</t>
    </r>
    <r>
      <rPr>
        <b/>
        <sz val="11"/>
        <color rgb="FF0070C0"/>
        <rFont val="Cambria"/>
        <family val="1"/>
      </rPr>
      <t>c)</t>
    </r>
    <r>
      <rPr>
        <sz val="11"/>
        <color theme="1"/>
        <rFont val="Cambria"/>
        <family val="1"/>
      </rPr>
      <t> </t>
    </r>
    <r>
      <rPr>
        <b/>
        <sz val="11"/>
        <color theme="1"/>
        <rFont val="Cambria"/>
        <family val="1"/>
      </rPr>
      <t>Cuando la clasificación del Instrumento es 2</t>
    </r>
    <r>
      <rPr>
        <sz val="11"/>
        <color theme="1"/>
        <rFont val="Cambria"/>
        <family val="1"/>
      </rPr>
      <t xml:space="preserve">: Utilizar el código del FONDO según la  SUGEVAL o del organismo homólogo si es extranjero.  Si posteriormente ese fondo pasa a ser negociado en la BNV CR se debe reportar el código que asigna esa bolsa. 
</t>
    </r>
    <r>
      <rPr>
        <b/>
        <sz val="11"/>
        <color rgb="FF0070C0"/>
        <rFont val="Cambria"/>
        <family val="1"/>
      </rPr>
      <t>d)</t>
    </r>
    <r>
      <rPr>
        <sz val="11"/>
        <color theme="1"/>
        <rFont val="Cambria"/>
        <family val="1"/>
      </rPr>
      <t xml:space="preserve"> </t>
    </r>
    <r>
      <rPr>
        <b/>
        <sz val="11"/>
        <color theme="1"/>
        <rFont val="Cambria"/>
        <family val="1"/>
      </rPr>
      <t>Cuando la clasificación del Instrumento es 3</t>
    </r>
    <r>
      <rPr>
        <sz val="11"/>
        <color theme="1"/>
        <rFont val="Cambria"/>
        <family val="1"/>
      </rPr>
      <t xml:space="preserve">: Si el título es negociado en la BNV CR, utilizar el código que asigna esa bolsa. Si el título no es negociado en la BNV CR, utilizar el código según la  SUGEVAL o del organismo homólogo si es extranjero.   Si posteriormente ese fondo pasa a ser negociado en la BNV CR se debe reportar el código que asigna esa bolsa.
</t>
    </r>
    <r>
      <rPr>
        <b/>
        <sz val="11"/>
        <color rgb="FF0070C0"/>
        <rFont val="Cambria"/>
        <family val="1"/>
      </rPr>
      <t>e)</t>
    </r>
    <r>
      <rPr>
        <sz val="11"/>
        <color theme="1"/>
        <rFont val="Cambria"/>
        <family val="1"/>
      </rPr>
      <t xml:space="preserve"> </t>
    </r>
    <r>
      <rPr>
        <b/>
        <sz val="11"/>
        <color theme="1"/>
        <rFont val="Cambria"/>
        <family val="1"/>
      </rPr>
      <t>Cuando la clasificación del Instrumento es 4</t>
    </r>
    <r>
      <rPr>
        <sz val="11"/>
        <color theme="1"/>
        <rFont val="Cambria"/>
        <family val="1"/>
      </rPr>
      <t xml:space="preserve">: Si se trata de un certificado de depósito a plazo o un certificado de inversión se debe reportar “CDP-CI”. Si un bono no negociable se debe reportar “BONO”.
</t>
    </r>
    <r>
      <rPr>
        <b/>
        <sz val="11"/>
        <color rgb="FF0070C0"/>
        <rFont val="Cambria"/>
        <family val="1"/>
      </rPr>
      <t>g)</t>
    </r>
    <r>
      <rPr>
        <sz val="11"/>
        <color theme="1"/>
        <rFont val="Cambria"/>
        <family val="1"/>
      </rPr>
      <t xml:space="preserve"> </t>
    </r>
    <r>
      <rPr>
        <b/>
        <sz val="11"/>
        <color theme="1"/>
        <rFont val="Cambria"/>
        <family val="1"/>
      </rPr>
      <t>Cuando la clasificación del instrumento es 6</t>
    </r>
    <r>
      <rPr>
        <sz val="11"/>
        <color theme="1"/>
        <rFont val="Cambria"/>
        <family val="1"/>
      </rPr>
      <t xml:space="preserve">: se debe indicar el número de la identificación en la operación de recompra registrada en la Bolsa de Valores respectiva.
</t>
    </r>
    <r>
      <rPr>
        <b/>
        <sz val="11"/>
        <color rgb="FF0070C0"/>
        <rFont val="Cambria"/>
        <family val="1"/>
      </rPr>
      <t>h)</t>
    </r>
    <r>
      <rPr>
        <sz val="11"/>
        <color theme="1"/>
        <rFont val="Cambria"/>
        <family val="1"/>
      </rPr>
      <t xml:space="preserve"> </t>
    </r>
    <r>
      <rPr>
        <b/>
        <sz val="11"/>
        <color theme="1"/>
        <rFont val="Cambria"/>
        <family val="1"/>
      </rPr>
      <t>Cuando la clasificación del instrumento es 7</t>
    </r>
    <r>
      <rPr>
        <sz val="11"/>
        <color theme="1"/>
        <rFont val="Cambria"/>
        <family val="1"/>
      </rPr>
      <t xml:space="preserve">:  si el instrumento es negociado en la BNV CR, utilizar el código que asigna esa bolsa, de lo contrario reportar “ICNN”.  
</t>
    </r>
  </si>
  <si>
    <t>SerieInstrumento</t>
  </si>
  <si>
    <t>0 a 20</t>
  </si>
  <si>
    <t xml:space="preserve">
Número de serie registrado en la Bolsa de Valores respectiva.
Este valor debe corresponder en el padrón de emisores de la SUGEF.
</t>
  </si>
  <si>
    <t>Premio</t>
  </si>
  <si>
    <t>0 a 3 enteros 
6 decimales</t>
  </si>
  <si>
    <t xml:space="preserve">
Corresponde a la prima (positiva o negativa) que el título valor devenga por encima o por debajo de la tasa de interés que sirve de referencia para el cálculo de los intereses del mismo, por ejemplo, la tasa básica. 
Debe expresarse en puntos porcentuales.
</t>
  </si>
  <si>
    <t>CodigoISIN</t>
  </si>
  <si>
    <t xml:space="preserve">
Código ISIN del instrumento financiero dado en garantía, de conformidad con los estándares establecidos en el documento “Numeración para la Identificación Internacional de Documentos Valores (ISIN). 
En caso de que el instrumento dado en garantía  por algún motivo especial no tuviera código ISIN, deberá consignarse la palabra “NO”.
</t>
  </si>
  <si>
    <r>
      <rPr>
        <sz val="11"/>
        <color rgb="FF000000"/>
        <rFont val="Cambria"/>
        <family val="1"/>
      </rPr>
      <t xml:space="preserve">
Categoría de Calificación asignada a la garantia valor.según la tabla
--------------------------------------------------
</t>
    </r>
    <r>
      <rPr>
        <b/>
        <sz val="11"/>
        <color rgb="FF0070C0"/>
        <rFont val="Cambria"/>
        <family val="1"/>
      </rPr>
      <t xml:space="preserve">Refiérase a la Tabla: Equivalencia_Calificaciones_Agencias_Calificadoras
</t>
    </r>
  </si>
  <si>
    <r>
      <t xml:space="preserve">
Calificación vigente del emisor o la emisión del instrumento(s) financiero(s) que está(n) en garantía. Se deben usar la nomeclatura de los códigos según los utilizados por la Agencia Calificadora que incluyan únicamente la calificación del riesgo de crédito.  Por lo tanto, los códigos de calificación que se reporten no deben incluir los caracteres que identifican: la calificadora, el tipo de instrumento y el riesgo de mercado.  Adicionalmente, los códigos no deben incluir las palabras “Nivel” o “Categoría”.
--------------------------------------------------
</t>
    </r>
    <r>
      <rPr>
        <b/>
        <sz val="11"/>
        <color rgb="FF0070C0"/>
        <rFont val="Cambria"/>
        <family val="1"/>
      </rPr>
      <t xml:space="preserve">Refiérase a la Tabla: Equivalencia_Calificaciones_Agencias_Calificadoras
</t>
    </r>
  </si>
  <si>
    <r>
      <t xml:space="preserve">
Código de la empresa que emite la calificación de riesgo del emisor o la emisión.
--------------------------------------------------
</t>
    </r>
    <r>
      <rPr>
        <b/>
        <sz val="11"/>
        <color rgb="FF0070C0"/>
        <rFont val="Cambria"/>
        <family val="1"/>
      </rPr>
      <t xml:space="preserve">Refiérase a la Tabla: Equivalencia_Calificaciones_Agencias_Calificadoras </t>
    </r>
    <r>
      <rPr>
        <sz val="11"/>
        <color theme="1"/>
        <rFont val="Cambria"/>
        <family val="1"/>
      </rPr>
      <t xml:space="preserve">
</t>
    </r>
  </si>
  <si>
    <t>ValorFacial</t>
  </si>
  <si>
    <t>0 a 20 enteros 
2 decimales</t>
  </si>
  <si>
    <t>TipoMonedaValorFacial</t>
  </si>
  <si>
    <t>0 a 6</t>
  </si>
  <si>
    <r>
      <t xml:space="preserve">
Código de tipo de moneda del valor facial del instrumento financiero.
Para el caso de los montos del efectivo restringido como garantías para operaciones back to back, corresponde a la moneda de la cuenta de ahorros y/o corriente.
--------------------------------------------------
</t>
    </r>
    <r>
      <rPr>
        <b/>
        <sz val="11"/>
        <color rgb="FF0070C0"/>
        <rFont val="Cambria"/>
        <family val="1"/>
      </rPr>
      <t xml:space="preserve">Refiérase a la Tabla: Tipo_Moneda </t>
    </r>
    <r>
      <rPr>
        <sz val="11"/>
        <color theme="1"/>
        <rFont val="Cambria"/>
        <family val="1"/>
      </rPr>
      <t xml:space="preserve">
</t>
    </r>
  </si>
  <si>
    <t>ValorMercado</t>
  </si>
  <si>
    <t>1 a 20 números enteros con 2 decimales</t>
  </si>
  <si>
    <r>
      <t xml:space="preserve">
Se considera valor de mercado lo siguiente:
</t>
    </r>
    <r>
      <rPr>
        <sz val="11"/>
        <color theme="1"/>
        <rFont val="Cambria"/>
        <family val="1"/>
      </rPr>
      <t xml:space="preserve">     1.  Es el precio al cual se negocia el instrumento en una bolsa de valores.
     2.  El valor facial en caso de valores no negociables en bolsa 
     3.  El valor intrínseco de la participación en caso de fondos de inversión abiertos.
     4.  En el caso de acciones o participaciones  se debe indicar  el monto que resulta de multiplicar la 
           cantidad de acciones o participaciones por su valor unitario de mercado.
     5.  Cuando se trate de instrumentos que en el campo “TipoClasificacionInstrumento” tiene los códigos 
           5 ó 6, o bien, cuando ese mismo campo tiene el código 4 excepto cuando el campo “IdInstrumento” 
           indica “BONO”, se debe reportar el mismo monto que se indica en el campo “ValorFacial”.  
También aplica cuando el emisor es la misma entidad.
Los montos deben reportarse en la </t>
    </r>
    <r>
      <rPr>
        <b/>
        <sz val="11"/>
        <color theme="1"/>
        <rFont val="Cambria"/>
        <family val="1"/>
      </rPr>
      <t>moneda original</t>
    </r>
    <r>
      <rPr>
        <sz val="11"/>
        <color theme="1"/>
        <rFont val="Cambria"/>
        <family val="1"/>
      </rPr>
      <t xml:space="preserve"> del valor (</t>
    </r>
    <r>
      <rPr>
        <b/>
        <i/>
        <sz val="11"/>
        <color theme="1"/>
        <rFont val="Cambria"/>
        <family val="1"/>
      </rPr>
      <t>no debe colonizarse</t>
    </r>
    <r>
      <rPr>
        <sz val="11"/>
        <color theme="1"/>
        <rFont val="Cambria"/>
        <family val="1"/>
      </rPr>
      <t xml:space="preserve">).
</t>
    </r>
  </si>
  <si>
    <t>TipoMonedaValorMercado</t>
  </si>
  <si>
    <r>
      <t xml:space="preserve">
Código de tipo de moneda del valor de mercado del instrumento financiero. Cuando la clasificación de instrumento es 5 se debe reportar el tipo de moneda indicado en el campo “TipoMonedaValorFacial”
--------------------------------------------------
</t>
    </r>
    <r>
      <rPr>
        <b/>
        <sz val="11"/>
        <color rgb="FF0070C0"/>
        <rFont val="Cambria"/>
        <family val="1"/>
      </rPr>
      <t xml:space="preserve"> Refiérase a la Tabla: Tipo_Moneda </t>
    </r>
    <r>
      <rPr>
        <sz val="11"/>
        <color theme="1"/>
        <rFont val="Cambria"/>
        <family val="1"/>
      </rPr>
      <t xml:space="preserve">
</t>
    </r>
  </si>
  <si>
    <t xml:space="preserve">
Fecha de constitución del valor. 
Corresponde a la fecha de emisión del instrumento indicado en el documento. 
</t>
  </si>
  <si>
    <t xml:space="preserve">
Fecha de vencimiento del instrumento indicado en el documento.
Para el caso de los montos del efectivo restringido como garantías para operaciones back to back, corresponde a la fecha de finalización del uso de los fondos indicada en el contrato de la operación crediticia.
Es obligatorio excepto en el caso, acciones y participaciones.
</t>
  </si>
  <si>
    <t>TipoColateralFinanciero</t>
  </si>
  <si>
    <r>
      <t xml:space="preserve">
Código del tipo del colateal financiero.   Corresponde a lo indicado en inciso b. del art. 19 del Acuerdo CONASSIF  14_21.
</t>
    </r>
    <r>
      <rPr>
        <b/>
        <sz val="11"/>
        <color theme="1"/>
        <rFont val="Cambria"/>
        <family val="1"/>
      </rPr>
      <t>Se exeptuan las garantías de las operaciones realizadas bajo la Ley 9274 y su Reglamento (Acuerdo SUGEF 15-16),  estas deben ser reportadas con el valor "0" en este campo.</t>
    </r>
    <r>
      <rPr>
        <sz val="11"/>
        <rFont val="Cambria"/>
        <family val="1"/>
      </rPr>
      <t xml:space="preserve">
--------------------------------------------------
</t>
    </r>
    <r>
      <rPr>
        <b/>
        <sz val="11"/>
        <color rgb="FF0070C0"/>
        <rFont val="Cambria"/>
        <family val="1"/>
      </rPr>
      <t>Referirse a la tabla: Tipo_Colateral_Financiero</t>
    </r>
    <r>
      <rPr>
        <sz val="11"/>
        <rFont val="Cambria"/>
        <family val="1"/>
      </rPr>
      <t xml:space="preserve">
</t>
    </r>
  </si>
  <si>
    <t>Vertical</t>
  </si>
  <si>
    <t>CodigoCalificacionInstrumento</t>
  </si>
  <si>
    <r>
      <t xml:space="preserve">
Código de calificación del instrumento.   Corresponde a lo indicado en inciso b. del art. 19 del Acuerdo CONASSIF  14_21.
</t>
    </r>
    <r>
      <rPr>
        <b/>
        <sz val="11"/>
        <color theme="1"/>
        <rFont val="Cambria"/>
        <family val="1"/>
      </rPr>
      <t>Se exceptúan las garantías de las operaciones realizadas bajo la Ley 9274 y su Reglamento (Acuerdo SUGEF 15-16),  estas deben ser reportadas con el valor "0" en este campo.</t>
    </r>
    <r>
      <rPr>
        <sz val="11"/>
        <color theme="1"/>
        <rFont val="Cambria"/>
        <family val="1"/>
      </rPr>
      <t xml:space="preserve">
</t>
    </r>
    <r>
      <rPr>
        <sz val="11"/>
        <rFont val="Cambria"/>
        <family val="1"/>
      </rPr>
      <t xml:space="preserve">--------------------------------------------------
</t>
    </r>
    <r>
      <rPr>
        <b/>
        <sz val="11"/>
        <color rgb="FF0070C0"/>
        <rFont val="Cambria"/>
        <family val="1"/>
      </rPr>
      <t>Referirse a la tabla: Tipo_Colateral_Financiero</t>
    </r>
    <r>
      <rPr>
        <sz val="11"/>
        <rFont val="Cambria"/>
        <family val="1"/>
      </rPr>
      <t xml:space="preserve">
</t>
    </r>
  </si>
  <si>
    <t>Horizontal</t>
  </si>
  <si>
    <r>
      <t xml:space="preserve">
Debe indicarse el porcentaje de ajuste que le corresponda de acuerdo al código indicado en el campo Colateral Financiero y la Calificación del Instrumento.
</t>
    </r>
    <r>
      <rPr>
        <b/>
        <sz val="11"/>
        <color theme="1"/>
        <rFont val="Cambria"/>
        <family val="1"/>
      </rPr>
      <t>Se exeptuan las garantías de las operaciones realizadas bajo la Ley 9274 y su Reglamento (Acuerdo SUGEF 15-16),  estas deben ser reportadas con el valor "0" en este campo.</t>
    </r>
    <r>
      <rPr>
        <sz val="11"/>
        <rFont val="Cambria"/>
        <family val="1"/>
      </rPr>
      <t xml:space="preserve">
--------------------------------------------------
</t>
    </r>
    <r>
      <rPr>
        <b/>
        <sz val="11"/>
        <color rgb="FF0070C0"/>
        <rFont val="Cambria"/>
        <family val="1"/>
      </rPr>
      <t>Refierase a la Tabla: Tipo_Colateral_Financiero.</t>
    </r>
    <r>
      <rPr>
        <sz val="11"/>
        <rFont val="Cambria"/>
        <family val="1"/>
      </rPr>
      <t xml:space="preserve">
</t>
    </r>
  </si>
  <si>
    <t>n</t>
  </si>
  <si>
    <t>VALIDACIONES PARA ARCHIVO DE INFORMACIÓN DE GARANTÍAS VALORES</t>
  </si>
  <si>
    <t xml:space="preserve">
Cuando el campo “TipoClasificacionInstrumento” tiene uno de los códigos 5 ó 7 los campos “TipoPersona” y “IdEmisor” deben corresponder con el padrón de personas de la SUGEF. 
</t>
  </si>
  <si>
    <t xml:space="preserve">
Cuando el campo “TipoClasificacionInstrumento” tiene el código 5 el campo  “IdEmisor” debe corresponder con el campo “IdEntidad” del encabezado de este archivo.   
</t>
  </si>
  <si>
    <t xml:space="preserve">
Los valores del campo “TipoPersona” deben corresponder con los códigos indicados en la Tabla “Tipo_Persona” y permitir únicamente los códigos del 1 al 6.
</t>
  </si>
  <si>
    <r>
      <t>Cuando el campo “TipoAsignaciónCalificacion” tiene códigos diferentes a cero según la Tabla “Tipo_Asignacion_Calificacion”</t>
    </r>
    <r>
      <rPr>
        <sz val="11"/>
        <color rgb="FF00B050"/>
        <rFont val="Cambria"/>
        <family val="1"/>
      </rPr>
      <t xml:space="preserve"> </t>
    </r>
    <r>
      <rPr>
        <sz val="11"/>
        <color rgb="FF000000"/>
        <rFont val="Cambria"/>
        <family val="1"/>
      </rPr>
      <t xml:space="preserve">debe reportarse la información de los campos “CategoriaCalificación”, “CalificacionRiesgo” y  “CodigoEmpresaCalificadora”, los valores deben corresponder con los indicados en la tabla Equivalencia_Calificaciones_Agencias_Calificadoras y estar con estado activo.
</t>
    </r>
  </si>
  <si>
    <t xml:space="preserve">
Cuando el campo “TipoClasificacionInstrumento” indica uno de los códigos 0, 1, 4, 5, 6 ó 7 el campo “ValorFacial” debe ser mayor que cero.
</t>
  </si>
  <si>
    <t xml:space="preserve">
El campo “TipoMonedaValorFacial” debe reportarse cuando el campo “ValorFacial” es mayor que cero.
</t>
  </si>
  <si>
    <t xml:space="preserve">
Los campos “TipoMonedaValorMercado” debe reportarse cuando el campo “ValorMercado”  es mayor que cero.
</t>
  </si>
  <si>
    <t xml:space="preserve">
Cuando el campo “TipoClasificacionInstrumento” es diferente de 6 el campo “IdEmisor” debe reportarse. 
</t>
  </si>
  <si>
    <t>Cuando el campo “ClasificacionInstrumento” tiene alguno de los códigos del 0 al 3 , o bien, cuando ese mismo campo tiene el código 4 y el campo “IdInstrumento” indica “BONO”; excepto cuando en forma concurrente se da lo siguiente: a. el campo “TipoClasificacionInstrumento” es “0” b. el campo “Premio” tiene valor c. el campo “IdEmisor” corresponde a un emisor que en la columna “CodigoPais” del padrón de emisores indica “CR”. los siguientes campos deben coincidir con los padrones de emisores, emisiones e instrumentos de la SUGEF: a) “IdEmisor” b)“IdInstrumento” c) “SerieInstrumento” cuando exista. d) “CodigoISIN” e) “TipoMonedaValorFacial” f) “FechaVencimiento” cuando exista. g) “Premio” cuando exista.</t>
  </si>
  <si>
    <r>
      <t xml:space="preserve">
Cuando se den las siguientes situaciones en forma concurrente:
a)   El campo “TipoClasificacionInstrumento” tiene el código 0; 
b)  El campo “Premio” tiene valor y a su vez el campo “IdInstrumento” no es</t>
    </r>
    <r>
      <rPr>
        <sz val="11"/>
        <color theme="1"/>
        <rFont val="Cambria"/>
        <family val="1"/>
      </rPr>
      <t xml:space="preserve"> “</t>
    </r>
    <r>
      <rPr>
        <b/>
        <sz val="12"/>
        <color theme="1"/>
        <rFont val="Cambria"/>
        <family val="1"/>
      </rPr>
      <t>BPDC</t>
    </r>
    <r>
      <rPr>
        <sz val="11"/>
        <color theme="1"/>
        <rFont val="Cambria"/>
        <family val="1"/>
      </rPr>
      <t>”</t>
    </r>
    <r>
      <rPr>
        <sz val="11"/>
        <rFont val="Cambria"/>
        <family val="1"/>
      </rPr>
      <t xml:space="preserve">
c)   El campo “IdEmisor” corresponde a un emisor que en la columna “CodigoPais” del padrón de emisores indica “CR”.
los siguientes campos deben coincidir con los padrones de emisores, emisiones e instrumentos de la SUGEF:
a.       “IdEmisor”
b.      “IdInstrumento”
c.       “TipoMonedaValorFacial”
d.      “Premio”
</t>
    </r>
  </si>
  <si>
    <r>
      <t xml:space="preserve">
Cuando se den las siguientes situaciones en forma concurrente:  el campo “TipoClasificacionInstrumento” tiene el código 0 y el campo “IdInstrumento” indica </t>
    </r>
    <r>
      <rPr>
        <sz val="11"/>
        <color theme="1"/>
        <rFont val="Cambria"/>
        <family val="1"/>
      </rPr>
      <t>“</t>
    </r>
    <r>
      <rPr>
        <b/>
        <sz val="12"/>
        <color theme="1"/>
        <rFont val="Cambria"/>
        <family val="1"/>
      </rPr>
      <t>BPDC</t>
    </r>
    <r>
      <rPr>
        <sz val="11"/>
        <color theme="1"/>
        <rFont val="Cambria"/>
        <family val="1"/>
      </rPr>
      <t>”</t>
    </r>
    <r>
      <rPr>
        <sz val="11"/>
        <rFont val="Cambria"/>
        <family val="1"/>
      </rPr>
      <t xml:space="preserve">; los siguientes campos deben coincidir con los padrones de emisores, emisiones e instrumentos de la SUGEF:
a.       “IdEmisor”
b.      “IdInstrumento”
c.       “TipoMonedaValorFacial” 
d.      “Premio”.   
e.      “FechaVencimiento”.
</t>
    </r>
  </si>
  <si>
    <t>Cuando el campo “TipoClasificacionInstrumento” tiene el código 4 excepto cuando en el campo “IdInstrumento” se indica “BONO”  y el campo "CodigoISIN" indica "NO" los siguientes campos deben reportarse y coincidir con los padrones de emisores e instrumentos: 
a.       “IdEmisor”
b.      “IdInstrumento”
c.       “TipoMonedaValorFacial”</t>
  </si>
  <si>
    <t xml:space="preserve">
Cuando el campo”TipoClasificacionInstrumento” es 4, el campo “IdInstrumento” debe contener unicamente los siguientes valores: “IDNN”, “ICNN”, “CDP-CI”, “ICP” o “BONO”.
</t>
  </si>
  <si>
    <t xml:space="preserve">
Cuando el campo “TipoClasificacionInstrumento” es 5 ó 6, el campo “IdInstrumento” no debe reportar los siguientes códigos: “IDNN”, “ICNN”, “CDP-CI”, “ICP” o  “BONO”. 
</t>
  </si>
  <si>
    <t xml:space="preserve">
Cuando el campo “TipoClasificacionInstrumento” tiene los códigos 5 ó 6, o bien, cuando ese mismo campo tiene el código 4 excepto cuando en el campo “IdInstrumento” indica “BONO”; el campo “ValorMercado” debe ser igual al campo “ValorFacial”.
</t>
  </si>
  <si>
    <t xml:space="preserve">
Cuando el campo “TipoClasificacionInstrumento” tiene los códigos 2 ó 3 el registro corresponde a un instrumento financiero que debe indicar “TPART” en la columna “TipoInstrumento” del padrón de instrumentos de la SUGEF.
</t>
  </si>
  <si>
    <r>
      <t xml:space="preserve">
Cuando el campo “TipoClasificacionInstrumento” tiene los códigos 0, 1, 4, 5 ó 6 el registro corresponde a un instrumento financiero que en la columna “TipoInstrumento” del padrón de instrumentos de la SUGEF no debe indicar “TPART”.
</t>
    </r>
    <r>
      <rPr>
        <b/>
        <sz val="11"/>
        <color rgb="FFFF0000"/>
        <rFont val="Cambria"/>
        <family val="1"/>
      </rPr>
      <t>INACTIVADA</t>
    </r>
  </si>
  <si>
    <r>
      <t xml:space="preserve">
Cuando el campo “TipoClasificacionInstrumento” es código 5 ó 6 el valor indicado en el campo “IdInstrumento” no debe estar contenido en el padrón de instrumentos.  
</t>
    </r>
    <r>
      <rPr>
        <b/>
        <sz val="11"/>
        <color rgb="FFFF0000"/>
        <rFont val="Cambria"/>
        <family val="1"/>
      </rPr>
      <t>INACTIVADA</t>
    </r>
  </si>
  <si>
    <t xml:space="preserve">
Cuando el campo “CodigoISIN” tiene un valor distinto de “NO”, el campo “IdGarantiaValor” debe ser igual al campo “CodigoISIN”. 
</t>
  </si>
  <si>
    <r>
      <t xml:space="preserve">
</t>
    </r>
    <r>
      <rPr>
        <sz val="14"/>
        <color theme="1"/>
        <rFont val="Cambria"/>
        <family val="1"/>
      </rPr>
      <t>E</t>
    </r>
    <r>
      <rPr>
        <sz val="11"/>
        <color theme="1"/>
        <rFont val="Cambria"/>
        <family val="1"/>
      </rPr>
      <t>l dato del campo "PorcentajeAjusteRc" debe corresponde al valor indicado en la tabla "TipoColateralFinanciero";  según "Colateral Financiero y otros derechos de cobro" y "</t>
    </r>
    <r>
      <rPr>
        <b/>
        <sz val="11"/>
        <color theme="1"/>
        <rFont val="Cambria"/>
        <family val="1"/>
      </rPr>
      <t>CalificacionInstrumento</t>
    </r>
    <r>
      <rPr>
        <sz val="11"/>
        <color theme="1"/>
        <rFont val="Cambria"/>
        <family val="1"/>
      </rPr>
      <t xml:space="preserve">".
</t>
    </r>
  </si>
  <si>
    <t>Los campos  "ValorFacial"  y " ValorMercado" No deben permitir datos negativos.</t>
  </si>
  <si>
    <t xml:space="preserve"> No es permitido remitir datos para periodos anteriores a Enero 2024</t>
  </si>
  <si>
    <t>El campo "TipoClasificacionInstrumento" debe existir en la tabla "Tipo_Clasificacion_Instrumento"</t>
  </si>
  <si>
    <t>El campo "TipoMonedaValorFacial" debe existir en la tabla "TIPO_MONEDA"</t>
  </si>
  <si>
    <t xml:space="preserve"> El campo "TipoMonedaValorMercado" debe existir en la tabla "TIPO_MONEDA"</t>
  </si>
  <si>
    <t>27.</t>
  </si>
  <si>
    <t>28.</t>
  </si>
  <si>
    <t xml:space="preserve">No es permitido indicar espacios en blanco al inicio o al final del campo: "IdGarantiaValor" del Archivo: "NEC2024_GARANTIAS_VALORES".
</t>
  </si>
  <si>
    <t>29.</t>
  </si>
  <si>
    <t xml:space="preserve">No es permitido indicar espacios en blanco al inicio o al final del campo: "IdEmisor" del Archivo: "NEC2024_GARANTIAS_VALORES".
</t>
  </si>
  <si>
    <t>30.</t>
  </si>
  <si>
    <t xml:space="preserve"> No es permitido indicar espacios en blanco al inicio o al final del campo: "IdInstrumento" del Archivo: "NEC2024_GARANTIAS_VALORES".
</t>
  </si>
  <si>
    <t>31.</t>
  </si>
  <si>
    <r>
      <t>Cuando el campo “TipoAsignaciónCalificacion” tiene códigos diferentes a cero según la Tabla “Tipo_Asignacion_Calificacion”</t>
    </r>
    <r>
      <rPr>
        <b/>
        <sz val="11"/>
        <color rgb="FF00B050"/>
        <rFont val="Cambria"/>
        <family val="1"/>
      </rPr>
      <t xml:space="preserve"> debe reportarse la información de los campos “CategoriaCalificación”, “CalificacionRiesgo” y “CodigoEmpresaCalificadora”, los valores deben corresponder con los indicados en la tabla Equivalencia_Calificaciones_Agencias_Calificadoras y estar con estado activo.</t>
    </r>
    <r>
      <rPr>
        <sz val="11"/>
        <color rgb="FF000000"/>
        <rFont val="Cambria"/>
        <family val="1"/>
      </rPr>
      <t xml:space="preserve">
</t>
    </r>
  </si>
  <si>
    <t xml:space="preserve">
Cuando el campo “ClasificacionInstrumento” tiene alguno de los códigos del 0 al 3, o bien, cuando ese mismo campo tiene el código 4 y el campo “IdInstrumento” indica “BONO”; excepto cuando en forma concurrente se da lo siguiente:
a. el campo “TipoClasificacionInstrumento” es “0”
b. el campo “Premio” tiene valor
c. el campo “IdEmisor” corresponde a un emisor que en la columna “CodigoPais” del padrón de emisores indica “CR”.
los siguientes campos deben coincidir con los padrones de emisores, emisiones e instrumentos de la SUGEF:
           i.   “IdEmisor”
          ii.    “IdInstrumento”
         iii.    “SerieInstrumento” cuando exista.
          iv.      “CodigoISIN”
          v.     “TipoMonedaValorFacial” 
          vi.      “FechaVencimiento” cuando exista.
          vii.       “Premio” cuando exista.
</t>
  </si>
  <si>
    <r>
      <t xml:space="preserve">
Cuando se den las siguientes situaciones en forma concurrente:
a)   El campo “TipoClasificacionInstrumento” tiene el código 0; 
b)  El campo “Premio” tiene valor y a su vez el campo “IdInstrumento” no es “</t>
    </r>
    <r>
      <rPr>
        <b/>
        <sz val="12"/>
        <color rgb="FF00B050"/>
        <rFont val="Cambria"/>
        <family val="1"/>
      </rPr>
      <t>BPDC</t>
    </r>
    <r>
      <rPr>
        <sz val="11"/>
        <rFont val="Cambria"/>
        <family val="1"/>
      </rPr>
      <t xml:space="preserve">”
c)   El campo “IdEmisor” corresponde a un emisor que en la columna “CodigoPais” del padrón de emisores indica “CR”.
los siguientes campos deben coincidir con los padrones de emisores, emisiones e instrumentos de la SUGEF:
a.       “IdEmisor”
b.      “IdInstrumento”
c.       “TipoMonedaValorFacial”
d.      “Premio”
</t>
    </r>
  </si>
  <si>
    <r>
      <t xml:space="preserve">
Cuando se den las siguientes situaciones en forma concurrente:  el campo “TipoClasificacionInstrumento” tiene el código 0 y el campo “IdInstrumento” indica “</t>
    </r>
    <r>
      <rPr>
        <b/>
        <sz val="12"/>
        <color rgb="FF00B050"/>
        <rFont val="Cambria"/>
        <family val="1"/>
      </rPr>
      <t>BPDC</t>
    </r>
    <r>
      <rPr>
        <sz val="11"/>
        <rFont val="Cambria"/>
        <family val="1"/>
      </rPr>
      <t xml:space="preserve">”; los siguientes campos deben coincidir con los padrones de emisores, emisiones e instrumentos de la SUGEF:
a.       “IdEmisor”
b.      “IdInstrumento”
c.       “TipoMonedaValorFacial” 
d.      “Premio”.   
e.      “FechaVencimiento”.
</t>
    </r>
  </si>
  <si>
    <r>
      <t xml:space="preserve">Cuando el campo “TipoClasificacionInstrumento” tiene el código 4 excepto cuando en el campo “IdInstrumento” se indica “BONO”  </t>
    </r>
    <r>
      <rPr>
        <sz val="11"/>
        <color rgb="FF00B050"/>
        <rFont val="Cambria"/>
        <family val="1"/>
      </rPr>
      <t xml:space="preserve">y el campo "CodigoISIN" indica "NO" </t>
    </r>
    <r>
      <rPr>
        <sz val="11"/>
        <rFont val="Cambria"/>
        <family val="1"/>
      </rPr>
      <t>los siguientes campos deben reportarse y coincidir con los padrones de emisores e instrumentos: 
a.       “IdEmisor”
b.      “IdInstrumento”
c.       “TipoMonedaValorFacial”</t>
    </r>
  </si>
  <si>
    <t xml:space="preserve">
Cuando el campo “TipoClasificacionInstrumento” tiene los códigos 0, 1, 4, 5 ó 6 el registro corresponde a un instrumento financiero que en la columna “TipoInstrumento” del padrón de instrumentos de la SUGEF no debe indicar “TPART”.
</t>
  </si>
  <si>
    <t xml:space="preserve">
Cuando el campo “TipoClasificacionInstrumento” es código 5 ó 6 el valor indicado en el campo “IdInstrumento” no debe estar contenido en el padrón de instrumentos.  
</t>
  </si>
  <si>
    <r>
      <t xml:space="preserve">
</t>
    </r>
    <r>
      <rPr>
        <sz val="14"/>
        <color rgb="FF00B050"/>
        <rFont val="Cambria"/>
        <family val="1"/>
      </rPr>
      <t>E</t>
    </r>
    <r>
      <rPr>
        <sz val="11"/>
        <color theme="1"/>
        <rFont val="Cambria"/>
        <family val="1"/>
      </rPr>
      <t>l dato del campo "PorcentajeAjusteRc" debe corresponde al valor indicado en la tabla "TipoColateralFinanciero";  según "Colateral Financiero y otros derechos de cobro" y "</t>
    </r>
    <r>
      <rPr>
        <b/>
        <sz val="11"/>
        <color rgb="FF00B050"/>
        <rFont val="Cambria"/>
        <family val="1"/>
      </rPr>
      <t>CalificacionInstrumento</t>
    </r>
    <r>
      <rPr>
        <sz val="11"/>
        <color theme="1"/>
        <rFont val="Cambria"/>
        <family val="1"/>
      </rPr>
      <t xml:space="preserve">".
</t>
    </r>
  </si>
  <si>
    <t>Nueva</t>
  </si>
  <si>
    <t xml:space="preserve">
Valor facial de la garantía consignado en el documento legal mediante el cual se formalizó la operación de crédito. El tipo de moneda debe ser indicado en el documento.    </t>
  </si>
  <si>
    <t xml:space="preserve">
Corresponde al porcentaje de mitigación  de cobertura de cada fondo "M". Debe de considerarse lo que se establece en el inciso b. del artículo 21 del Acuerdo CONASSIF 14-21 - Reglamento de Estimaciones Crediticias , en lo que corresponde  a esta variable de la fórmula. 
</t>
  </si>
  <si>
    <t xml:space="preserve">Los campos “TipoPersonaTasador” y “IdTasador”, deben corresponder con el padrón de personas de la SUGEF.
</t>
  </si>
  <si>
    <r>
      <t xml:space="preserve">La entades deber remitir mensualmente la carga completa de todos los  archivos de las garantías que cada entidad posee y que se ajusten a los archivos de esta Clase de Datos. Se debe reportar todas aquellas garantías que estén asociadas a una operación crediticia que estén o podrían estar siendo utilizadas como mitigadoras de riesgo en el período de remisión de la información de conformidad con lo indicado en la Circular Externa SUGEF 1399-2015 del 26 de mayo 2015 </t>
    </r>
    <r>
      <rPr>
        <b/>
        <sz val="11"/>
        <color rgb="FF00B050"/>
        <rFont val="Cambria"/>
        <family val="1"/>
      </rPr>
      <t>en lo que aplique.</t>
    </r>
  </si>
  <si>
    <t xml:space="preserve">Los campos “TipoPersonaBeneficiario” y “IdBeneficiario” deben corresponder con el padrón de personas de la SUGEF.
</t>
  </si>
  <si>
    <r>
      <t xml:space="preserve">
Código del tipo de persona reportado en el campo “IdEntidadCartaCredito” y</t>
    </r>
    <r>
      <rPr>
        <sz val="11"/>
        <rFont val="Cambria"/>
        <family val="1"/>
      </rPr>
      <t xml:space="preserve"> éste solo solo puede ser: 1 ó 2 ó 3 ó 4 ó 5 ó 6 ó 13.</t>
    </r>
    <r>
      <rPr>
        <sz val="11"/>
        <color theme="1"/>
        <rFont val="Cambria"/>
        <family val="1"/>
      </rPr>
      <t xml:space="preserve">
--------------------------------------------------
</t>
    </r>
    <r>
      <rPr>
        <b/>
        <sz val="11"/>
        <color rgb="FF0070C0"/>
        <rFont val="Cambria"/>
        <family val="1"/>
      </rPr>
      <t>Referirse a la tabla Tipo_Persona</t>
    </r>
    <r>
      <rPr>
        <sz val="11"/>
        <color theme="1"/>
        <rFont val="Cambria"/>
        <family val="1"/>
      </rPr>
      <t xml:space="preserve">
</t>
    </r>
  </si>
  <si>
    <r>
      <t xml:space="preserve">
Código del tipo del mitigador dado en garantía.  Se debe utilizar el código 21.
----------------------------------------------------------------------------------
</t>
    </r>
    <r>
      <rPr>
        <b/>
        <sz val="11"/>
        <color rgb="FF0070C0"/>
        <rFont val="Cambria"/>
        <family val="1"/>
      </rPr>
      <t xml:space="preserve">Referirse a la tabla: Tipo_Mitigador_Riesgo
</t>
    </r>
  </si>
  <si>
    <r>
      <t xml:space="preserve">El campo “TipoAsignacionCalificacion” sólo puede contener el  valor 2 y los  “CodigoCalificacionRiesgo”, “CodigoEmpresaCalificadora” y “CategoriaCalificacion” deben corresponder con los valores de la tabla "Equivalencia_Calificaciones_Agencias_Calificadoras" y estos valores deben estar activos.
</t>
    </r>
    <r>
      <rPr>
        <b/>
        <sz val="12"/>
        <color rgb="FFFF0000"/>
        <rFont val="Cambria"/>
        <family val="1"/>
      </rPr>
      <t>Inactiva</t>
    </r>
  </si>
  <si>
    <t>1 a 20 enteros
 2 decimales</t>
  </si>
  <si>
    <t>1 a 20
2 decimales</t>
  </si>
  <si>
    <t xml:space="preserve">El campo “IdGarantiaFacturaCedida” no debe repetirse
</t>
  </si>
  <si>
    <r>
      <t xml:space="preserve">
Código del tipo de persona indicado en el campo IdFiador</t>
    </r>
    <r>
      <rPr>
        <sz val="11"/>
        <color rgb="FF00B050"/>
        <rFont val="Cambria"/>
        <family val="1"/>
      </rPr>
      <t xml:space="preserve"> </t>
    </r>
    <r>
      <rPr>
        <sz val="11"/>
        <rFont val="Cambria"/>
        <family val="1"/>
      </rPr>
      <t xml:space="preserve">y éste solo solo puede ser: </t>
    </r>
    <r>
      <rPr>
        <sz val="11"/>
        <color rgb="FF00B050"/>
        <rFont val="Cambria"/>
        <family val="1"/>
      </rPr>
      <t>1 ó 2 ó 3 ó 4 ó 5 ó 6 ó 13.</t>
    </r>
    <r>
      <rPr>
        <sz val="11"/>
        <rFont val="Cambria"/>
        <family val="1"/>
      </rPr>
      <t xml:space="preserve">
-------------------------------------------------------------------------------
</t>
    </r>
    <r>
      <rPr>
        <b/>
        <sz val="11"/>
        <color rgb="FF0070C0"/>
        <rFont val="Cambria"/>
        <family val="1"/>
      </rPr>
      <t>Referirse a la tabla: Tipo_Persona.</t>
    </r>
    <r>
      <rPr>
        <sz val="11"/>
        <rFont val="Cambria"/>
        <family val="1"/>
      </rPr>
      <t xml:space="preserve">
</t>
    </r>
  </si>
  <si>
    <r>
      <t xml:space="preserve">
Número de identificación del fiador o del avalista que respalda  la operación de crédito.
En el caso de los avales otorgados por:
1-FONDO NACIONAL PARA EL DESARROLLO (FONADE) utilizar la identificación del Fideicomiso: 3110665868.  
2-FODEMIPYME: Indicar  (</t>
    </r>
    <r>
      <rPr>
        <b/>
        <sz val="11"/>
        <rFont val="Cambria"/>
        <family val="1"/>
      </rPr>
      <t>4000042152</t>
    </r>
    <r>
      <rPr>
        <sz val="11"/>
        <rFont val="Cambria"/>
        <family val="1"/>
      </rPr>
      <t xml:space="preserve">)
3-FIDEICOMISO IMAS BNCR BCAC 32-04 identificación: 3110677626
</t>
    </r>
  </si>
  <si>
    <t xml:space="preserve">El campo “IdGarantiaFiduciaria” no debe repetirse.
</t>
  </si>
  <si>
    <r>
      <t xml:space="preserve">
El Tiempo es medido en años, entre la fecha de la última valorización o tasación disponible y la fecha de corte.   
</t>
    </r>
    <r>
      <rPr>
        <b/>
        <sz val="11"/>
        <rFont val="Cambria"/>
        <family val="1"/>
      </rPr>
      <t xml:space="preserve">La fórmula de cálculo es la diferencia de fechas en días dividido entre 30 y luego entre 12 y se redondea a dos.   </t>
    </r>
    <r>
      <rPr>
        <sz val="11"/>
        <rFont val="Cambria"/>
        <family val="1"/>
      </rPr>
      <t xml:space="preserve">El valor mínimo debe ser 1 (uno).
</t>
    </r>
    <r>
      <rPr>
        <b/>
        <sz val="11"/>
        <rFont val="Cambria"/>
        <family val="1"/>
      </rPr>
      <t xml:space="preserve">Se exceptúan las garantías de las operaciones realizadas bajo la Ley 9274 y su Reglamento (Acuerdo SUGEF 15-16),  estas deben ser reportadas con el valor </t>
    </r>
    <r>
      <rPr>
        <b/>
        <sz val="16"/>
        <rFont val="Cambria"/>
        <family val="1"/>
      </rPr>
      <t>"1"</t>
    </r>
    <r>
      <rPr>
        <b/>
        <sz val="11"/>
        <rFont val="Cambria"/>
        <family val="1"/>
      </rPr>
      <t xml:space="preserve"> en este campo.</t>
    </r>
    <r>
      <rPr>
        <sz val="11"/>
        <rFont val="Cambria"/>
        <family val="1"/>
      </rPr>
      <t xml:space="preserve">
</t>
    </r>
  </si>
  <si>
    <t xml:space="preserve">
Monto que aparece consignado en el instrumento financiero o el monto del efectivo restringido como garantías para operaciones back to back, según contrato.
En el caso de acciones se debe indicar el monto que resulta de la multiplicación del valor facial unitario por la cantidad de de acciones.
Los montos deben reportarse en la moneda original (no debe colonizarse). 
Aplica para cuando el campo “TipoClasificacionInstrumento” indica uno de los códigos 0, 1, 4, 5, 6 ó 7.
</t>
  </si>
  <si>
    <t xml:space="preserve">El campo “IdGarantiaValor” no debe repetirse.
</t>
  </si>
  <si>
    <t xml:space="preserve">Cuando el campo "TipoAsignaciónCalificación" es 0 los campos "CategoriaCalificación", "CodigoCalificacionRiesgo" y  "CodigoEmpresaCalificadora" no deben registrarse.
</t>
  </si>
  <si>
    <t xml:space="preserve">Validación # 31: El valor del campo "TipoAsignacionCalificacion" debe existir en la tabla "TIPO_ASIGNACION_CALIFICACION" y estar activo.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</si>
</sst>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quot;.&quot;"/>
    <numFmt numFmtId="165" formatCode="00"/>
  </numFmts>
  <fonts count="114" x14ac:knownFonts="1">
    <font>
      <sz val="11"/>
      <color theme="1"/>
      <name val="Calibri"/>
      <family val="2"/>
      <scheme val="minor"/>
    </font>
    <font>
      <sz val="10"/>
      <color theme="1"/>
      <name val="Cambria"/>
      <family val="1"/>
    </font>
    <font>
      <b/>
      <sz val="10"/>
      <color theme="1"/>
      <name val="Cambria"/>
      <family val="1"/>
    </font>
    <font>
      <b/>
      <sz val="10"/>
      <color rgb="FFFFFFFF"/>
      <name val="Cambria"/>
      <family val="1"/>
    </font>
    <font>
      <sz val="10"/>
      <name val="Arial"/>
      <family val="2"/>
    </font>
    <font>
      <b/>
      <sz val="11"/>
      <color theme="1"/>
      <name val="Calibri"/>
      <family val="2"/>
      <scheme val="minor"/>
    </font>
    <font>
      <sz val="12"/>
      <color theme="1"/>
      <name val="Cambria"/>
      <family val="1"/>
    </font>
    <font>
      <sz val="12"/>
      <color rgb="FF00B050"/>
      <name val="Cambria"/>
      <family val="1"/>
    </font>
    <font>
      <sz val="11"/>
      <color rgb="FF9C0006"/>
      <name val="Calibri"/>
      <family val="2"/>
      <scheme val="minor"/>
    </font>
    <font>
      <b/>
      <sz val="11"/>
      <color theme="1"/>
      <name val="Cambria"/>
      <family val="1"/>
    </font>
    <font>
      <b/>
      <sz val="11"/>
      <color rgb="FFFFFFFF"/>
      <name val="Cambria"/>
      <family val="1"/>
    </font>
    <font>
      <sz val="11"/>
      <color theme="1"/>
      <name val="Cambria"/>
      <family val="1"/>
    </font>
    <font>
      <u/>
      <sz val="11"/>
      <color theme="1"/>
      <name val="Cambria"/>
      <family val="1"/>
    </font>
    <font>
      <b/>
      <sz val="11"/>
      <color rgb="FF0070C0"/>
      <name val="Cambria"/>
      <family val="1"/>
    </font>
    <font>
      <b/>
      <sz val="11"/>
      <color rgb="FFC00000"/>
      <name val="Cambria"/>
      <family val="1"/>
    </font>
    <font>
      <sz val="11"/>
      <name val="Cambria"/>
      <family val="1"/>
    </font>
    <font>
      <sz val="11"/>
      <color rgb="FF00B050"/>
      <name val="Cambria"/>
      <family val="1"/>
    </font>
    <font>
      <b/>
      <vertAlign val="superscript"/>
      <sz val="11"/>
      <color rgb="FF0070C0"/>
      <name val="Cambria"/>
      <family val="1"/>
    </font>
    <font>
      <b/>
      <vertAlign val="superscript"/>
      <sz val="11"/>
      <color rgb="FFC00000"/>
      <name val="Cambria"/>
      <family val="1"/>
    </font>
    <font>
      <sz val="11"/>
      <color rgb="FFC00000"/>
      <name val="Cambria"/>
      <family val="1"/>
    </font>
    <font>
      <b/>
      <u/>
      <sz val="11"/>
      <color theme="1"/>
      <name val="Cambria"/>
      <family val="1"/>
    </font>
    <font>
      <b/>
      <sz val="11"/>
      <name val="Cambria"/>
      <family val="1"/>
    </font>
    <font>
      <sz val="11"/>
      <color rgb="FF006100"/>
      <name val="Calibri"/>
      <family val="2"/>
      <scheme val="minor"/>
    </font>
    <font>
      <b/>
      <i/>
      <sz val="11"/>
      <color theme="1"/>
      <name val="Cambria"/>
      <family val="1"/>
    </font>
    <font>
      <b/>
      <sz val="11"/>
      <color rgb="FF000000"/>
      <name val="Cambria"/>
      <family val="1"/>
    </font>
    <font>
      <sz val="11"/>
      <color theme="0"/>
      <name val="Calibri"/>
      <family val="2"/>
      <scheme val="minor"/>
    </font>
    <font>
      <sz val="11"/>
      <color theme="0"/>
      <name val="Cambria"/>
      <family val="1"/>
    </font>
    <font>
      <sz val="8"/>
      <name val="Calibri"/>
      <family val="2"/>
      <scheme val="minor"/>
    </font>
    <font>
      <b/>
      <sz val="9"/>
      <color indexed="81"/>
      <name val="Tahoma"/>
      <family val="2"/>
    </font>
    <font>
      <u/>
      <sz val="11"/>
      <color theme="10"/>
      <name val="Calibri"/>
      <family val="2"/>
      <scheme val="minor"/>
    </font>
    <font>
      <b/>
      <u/>
      <sz val="11"/>
      <name val="Cambria"/>
      <family val="1"/>
    </font>
    <font>
      <b/>
      <vertAlign val="superscript"/>
      <sz val="11"/>
      <name val="Cambria"/>
      <family val="1"/>
    </font>
    <font>
      <vertAlign val="superscript"/>
      <sz val="11"/>
      <name val="Cambria"/>
      <family val="1"/>
    </font>
    <font>
      <b/>
      <sz val="11"/>
      <color theme="0"/>
      <name val="Cambria"/>
      <family val="1"/>
    </font>
    <font>
      <sz val="11"/>
      <color rgb="FFFF0000"/>
      <name val="Cambria"/>
      <family val="1"/>
    </font>
    <font>
      <sz val="11"/>
      <name val="Calibri"/>
      <family val="2"/>
      <scheme val="minor"/>
    </font>
    <font>
      <u/>
      <sz val="11"/>
      <color rgb="FF000000"/>
      <name val="Cambria"/>
      <family val="1"/>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mbria"/>
      <family val="1"/>
    </font>
    <font>
      <b/>
      <u/>
      <sz val="11"/>
      <color theme="10"/>
      <name val="Cambria"/>
      <family val="1"/>
    </font>
    <font>
      <sz val="11"/>
      <color indexed="8"/>
      <name val="Calibri"/>
      <family val="2"/>
      <scheme val="minor"/>
    </font>
    <font>
      <sz val="14"/>
      <color indexed="8"/>
      <name val="Calibri"/>
      <family val="2"/>
      <scheme val="minor"/>
    </font>
    <font>
      <sz val="11"/>
      <color theme="0" tint="-0.499984740745262"/>
      <name val="Calibri"/>
      <family val="2"/>
      <scheme val="minor"/>
    </font>
    <font>
      <sz val="11"/>
      <color theme="0" tint="-0.249977111117893"/>
      <name val="Calibri"/>
      <family val="2"/>
      <scheme val="minor"/>
    </font>
    <font>
      <sz val="8.25"/>
      <color indexed="9"/>
      <name val="Microsoft Sans Serif"/>
      <family val="2"/>
    </font>
    <font>
      <sz val="8.25"/>
      <color indexed="8"/>
      <name val="Microsoft Sans Serif"/>
      <family val="2"/>
    </font>
    <font>
      <b/>
      <sz val="20"/>
      <color theme="7" tint="0.79998168889431442"/>
      <name val="Calibri"/>
      <family val="2"/>
      <scheme val="minor"/>
    </font>
    <font>
      <b/>
      <sz val="13"/>
      <color rgb="FF000000"/>
      <name val="Cambria"/>
      <family val="1"/>
    </font>
    <font>
      <b/>
      <sz val="10"/>
      <color rgb="FFFFFFFF"/>
      <name val="Arial"/>
      <family val="2"/>
    </font>
    <font>
      <b/>
      <sz val="10"/>
      <color rgb="FFFFFFFF"/>
      <name val="Times New Roman"/>
      <family val="1"/>
    </font>
    <font>
      <b/>
      <sz val="10"/>
      <color theme="7" tint="0.79998168889431442"/>
      <name val="Arial"/>
      <family val="2"/>
    </font>
    <font>
      <b/>
      <sz val="10"/>
      <color theme="7" tint="0.79998168889431442"/>
      <name val="Times New Roman"/>
      <family val="1"/>
    </font>
    <font>
      <b/>
      <sz val="10"/>
      <color rgb="FF000000"/>
      <name val="Arial"/>
      <family val="2"/>
    </font>
    <font>
      <sz val="10"/>
      <color rgb="FF000000"/>
      <name val="Times New Roman"/>
      <family val="1"/>
    </font>
    <font>
      <sz val="10"/>
      <color rgb="FF000000"/>
      <name val="Arial"/>
      <family val="2"/>
    </font>
    <font>
      <b/>
      <sz val="20"/>
      <color rgb="FF002060"/>
      <name val="Cambria"/>
      <family val="1"/>
    </font>
    <font>
      <sz val="11"/>
      <color rgb="FFFFFFFF"/>
      <name val="Cambria"/>
      <family val="1"/>
    </font>
    <font>
      <sz val="11"/>
      <color rgb="FF000000"/>
      <name val="Cambria"/>
      <family val="1"/>
    </font>
    <font>
      <sz val="8"/>
      <color theme="1"/>
      <name val="Calibri"/>
      <family val="2"/>
      <scheme val="minor"/>
    </font>
    <font>
      <strike/>
      <sz val="11"/>
      <color theme="1"/>
      <name val="Calibri"/>
      <family val="2"/>
      <scheme val="minor"/>
    </font>
    <font>
      <sz val="11"/>
      <color rgb="FF333333"/>
      <name val="Cambria"/>
      <family val="1"/>
    </font>
    <font>
      <b/>
      <sz val="14"/>
      <color theme="1"/>
      <name val="Calibri"/>
      <family val="2"/>
      <scheme val="minor"/>
    </font>
    <font>
      <sz val="11"/>
      <color rgb="FFFFFF00"/>
      <name val="Cambria"/>
      <family val="1"/>
    </font>
    <font>
      <b/>
      <sz val="11"/>
      <color rgb="FF00B050"/>
      <name val="Cambria"/>
      <family val="1"/>
    </font>
    <font>
      <b/>
      <sz val="11"/>
      <color rgb="FF00B050"/>
      <name val="Calibri"/>
      <family val="2"/>
      <scheme val="minor"/>
    </font>
    <font>
      <b/>
      <sz val="11"/>
      <color rgb="FFFF0000"/>
      <name val="Cambria"/>
      <family val="1"/>
    </font>
    <font>
      <b/>
      <sz val="12"/>
      <color rgb="FF00B050"/>
      <name val="Calibri"/>
      <family val="2"/>
      <scheme val="minor"/>
    </font>
    <font>
      <sz val="11"/>
      <color rgb="FF000000"/>
      <name val="Calibri"/>
      <family val="2"/>
    </font>
    <font>
      <sz val="11"/>
      <color theme="1"/>
      <name val="Calibri"/>
      <family val="2"/>
    </font>
    <font>
      <sz val="14"/>
      <color theme="1"/>
      <name val="Calibri"/>
      <family val="2"/>
      <scheme val="minor"/>
    </font>
    <font>
      <sz val="11"/>
      <color rgb="FF00B050"/>
      <name val="Calibri"/>
      <family val="2"/>
      <scheme val="minor"/>
    </font>
    <font>
      <b/>
      <u/>
      <sz val="11"/>
      <color rgb="FF000000"/>
      <name val="Cambria"/>
      <family val="1"/>
    </font>
    <font>
      <b/>
      <sz val="14"/>
      <color rgb="FF002060"/>
      <name val="Cambria"/>
      <family val="1"/>
    </font>
    <font>
      <b/>
      <u/>
      <sz val="11"/>
      <color rgb="FF00B050"/>
      <name val="Cambria"/>
      <family val="1"/>
    </font>
    <font>
      <b/>
      <sz val="12"/>
      <color rgb="FF00B050"/>
      <name val="Cambria"/>
      <family val="1"/>
    </font>
    <font>
      <u/>
      <sz val="11"/>
      <color rgb="FF0563C1"/>
      <name val="Cambria"/>
      <family val="1"/>
    </font>
    <font>
      <u/>
      <sz val="11"/>
      <color rgb="FFFF0000"/>
      <name val="Cambria"/>
      <family val="1"/>
    </font>
    <font>
      <strike/>
      <sz val="11"/>
      <color rgb="FF000000"/>
      <name val="Cambria"/>
      <family val="1"/>
    </font>
    <font>
      <b/>
      <u/>
      <sz val="11"/>
      <color rgb="FFFF0000"/>
      <name val="Cambria"/>
      <family val="1"/>
    </font>
    <font>
      <sz val="14"/>
      <color rgb="FF00B050"/>
      <name val="Cambria"/>
      <family val="1"/>
    </font>
    <font>
      <sz val="9"/>
      <color theme="1"/>
      <name val="Cambria"/>
      <family val="1"/>
    </font>
    <font>
      <b/>
      <i/>
      <sz val="11"/>
      <color rgb="FF000000"/>
      <name val="Cambria"/>
      <family val="1"/>
    </font>
    <font>
      <b/>
      <sz val="14"/>
      <color rgb="FF000000"/>
      <name val="Cambria"/>
      <family val="1"/>
    </font>
    <font>
      <b/>
      <sz val="14"/>
      <color rgb="FFFF0000"/>
      <name val="Cambria"/>
      <family val="1"/>
    </font>
    <font>
      <b/>
      <sz val="9"/>
      <color theme="7" tint="-0.499984740745262"/>
      <name val="Cambria"/>
      <family val="1"/>
    </font>
    <font>
      <b/>
      <sz val="10"/>
      <color theme="7" tint="-0.249977111117893"/>
      <name val="Cambria"/>
      <family val="1"/>
    </font>
    <font>
      <b/>
      <sz val="11"/>
      <color theme="7" tint="-0.249977111117893"/>
      <name val="Cambria"/>
      <family val="1"/>
    </font>
    <font>
      <b/>
      <sz val="14"/>
      <color theme="1"/>
      <name val="Cambria"/>
      <family val="1"/>
    </font>
    <font>
      <strike/>
      <sz val="8"/>
      <color theme="1"/>
      <name val="Cambria"/>
      <family val="1"/>
    </font>
    <font>
      <sz val="14"/>
      <color theme="0"/>
      <name val="Cambria"/>
      <family val="1"/>
    </font>
    <font>
      <sz val="10"/>
      <name val="Cambria"/>
      <family val="1"/>
    </font>
    <font>
      <sz val="12"/>
      <color rgb="FF000000"/>
      <name val="Cambria"/>
      <family val="1"/>
    </font>
    <font>
      <b/>
      <sz val="12"/>
      <color theme="1"/>
      <name val="Cambria"/>
      <family val="1"/>
    </font>
    <font>
      <b/>
      <sz val="16"/>
      <color theme="1"/>
      <name val="Cambria"/>
      <family val="1"/>
    </font>
    <font>
      <sz val="14"/>
      <color theme="1"/>
      <name val="Cambria"/>
      <family val="1"/>
    </font>
    <font>
      <sz val="8"/>
      <color theme="1"/>
      <name val="Cambria"/>
      <family val="1"/>
    </font>
    <font>
      <b/>
      <sz val="12"/>
      <color rgb="FFFF0000"/>
      <name val="Cambria"/>
      <family val="1"/>
    </font>
    <font>
      <sz val="12"/>
      <name val="Cambria"/>
      <family val="1"/>
    </font>
    <font>
      <b/>
      <sz val="10"/>
      <color rgb="FFFF0000"/>
      <name val="Cambria"/>
      <family val="1"/>
    </font>
    <font>
      <b/>
      <sz val="10"/>
      <name val="Cambria"/>
      <family val="1"/>
    </font>
    <font>
      <sz val="9"/>
      <color indexed="81"/>
      <name val="Tahoma"/>
      <family val="2"/>
    </font>
    <font>
      <b/>
      <sz val="16"/>
      <name val="Cambria"/>
      <family val="1"/>
    </font>
  </fonts>
  <fills count="51">
    <fill>
      <patternFill patternType="none"/>
    </fill>
    <fill>
      <patternFill patternType="gray125"/>
    </fill>
    <fill>
      <patternFill patternType="solid">
        <fgColor rgb="FF002060"/>
        <bgColor indexed="64"/>
      </patternFill>
    </fill>
    <fill>
      <patternFill patternType="solid">
        <fgColor rgb="FFFFFFFF"/>
        <bgColor indexed="64"/>
      </patternFill>
    </fill>
    <fill>
      <patternFill patternType="solid">
        <fgColor rgb="FFFFC7CE"/>
      </patternFill>
    </fill>
    <fill>
      <patternFill patternType="solid">
        <fgColor rgb="FFC6EFCE"/>
      </patternFill>
    </fill>
    <fill>
      <patternFill patternType="solid">
        <fgColor theme="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rgb="FFA0E6FF"/>
        </stop>
      </gradientFill>
    </fill>
    <fill>
      <patternFill patternType="solid">
        <fgColor rgb="FF0070C0"/>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5" tint="-0.499984740745262"/>
        <bgColor indexed="64"/>
      </patternFill>
    </fill>
    <fill>
      <patternFill patternType="solid">
        <fgColor rgb="FFFF0000"/>
        <bgColor indexed="64"/>
      </patternFill>
    </fill>
    <fill>
      <patternFill patternType="solid">
        <fgColor theme="8" tint="0.79998168889431442"/>
        <bgColor indexed="64"/>
      </patternFill>
    </fill>
    <fill>
      <patternFill patternType="solid">
        <fgColor rgb="FF92D050"/>
        <bgColor indexed="64"/>
      </patternFill>
    </fill>
    <fill>
      <patternFill patternType="solid">
        <fgColor rgb="FF833C0C"/>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39997558519241921"/>
        <bgColor indexed="64"/>
      </patternFill>
    </fill>
    <fill>
      <gradientFill degree="90">
        <stop position="0">
          <color theme="0"/>
        </stop>
        <stop position="1">
          <color theme="4"/>
        </stop>
      </gradientFill>
    </fill>
    <fill>
      <patternFill patternType="solid">
        <fgColor rgb="FFC00000"/>
        <bgColor indexed="64"/>
      </patternFill>
    </fill>
  </fills>
  <borders count="3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bottom/>
      <diagonal/>
    </border>
    <border>
      <left/>
      <right/>
      <top/>
      <bottom style="medium">
        <color indexed="64"/>
      </bottom>
      <diagonal/>
    </border>
    <border>
      <left/>
      <right/>
      <top style="dashed">
        <color auto="1"/>
      </top>
      <bottom/>
      <diagonal/>
    </border>
    <border>
      <left style="thin">
        <color theme="1"/>
      </left>
      <right/>
      <top style="thin">
        <color theme="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auto="1"/>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auto="1"/>
      </left>
      <right style="thin">
        <color auto="1"/>
      </right>
      <top/>
      <bottom style="thin">
        <color auto="1"/>
      </bottom>
      <diagonal/>
    </border>
    <border>
      <left/>
      <right style="thin">
        <color indexed="64"/>
      </right>
      <top style="thin">
        <color indexed="64"/>
      </top>
      <bottom style="thin">
        <color indexed="64"/>
      </bottom>
      <diagonal/>
    </border>
    <border>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theme="1"/>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s>
  <cellStyleXfs count="45">
    <xf numFmtId="0" fontId="0" fillId="0" borderId="0"/>
    <xf numFmtId="0" fontId="4" fillId="0" borderId="0"/>
    <xf numFmtId="0" fontId="8" fillId="4" borderId="0" applyNumberFormat="0" applyBorder="0" applyAlignment="0" applyProtection="0"/>
    <xf numFmtId="0" fontId="22" fillId="5" borderId="0" applyNumberFormat="0" applyBorder="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39" fillId="0" borderId="8" applyNumberFormat="0" applyFill="0" applyAlignment="0" applyProtection="0"/>
    <xf numFmtId="0" fontId="40" fillId="0" borderId="9" applyNumberFormat="0" applyFill="0" applyAlignment="0" applyProtection="0"/>
    <xf numFmtId="0" fontId="41" fillId="0" borderId="10" applyNumberFormat="0" applyFill="0" applyAlignment="0" applyProtection="0"/>
    <xf numFmtId="0" fontId="41" fillId="0" borderId="0" applyNumberFormat="0" applyFill="0" applyBorder="0" applyAlignment="0" applyProtection="0"/>
    <xf numFmtId="0" fontId="42" fillId="7" borderId="0" applyNumberFormat="0" applyBorder="0" applyAlignment="0" applyProtection="0"/>
    <xf numFmtId="0" fontId="43" fillId="8" borderId="11" applyNumberFormat="0" applyAlignment="0" applyProtection="0"/>
    <xf numFmtId="0" fontId="44" fillId="9" borderId="12" applyNumberFormat="0" applyAlignment="0" applyProtection="0"/>
    <xf numFmtId="0" fontId="45" fillId="9" borderId="11" applyNumberFormat="0" applyAlignment="0" applyProtection="0"/>
    <xf numFmtId="0" fontId="46" fillId="0" borderId="13" applyNumberFormat="0" applyFill="0" applyAlignment="0" applyProtection="0"/>
    <xf numFmtId="0" fontId="47" fillId="10" borderId="14" applyNumberFormat="0" applyAlignment="0" applyProtection="0"/>
    <xf numFmtId="0" fontId="48" fillId="0" borderId="0" applyNumberFormat="0" applyFill="0" applyBorder="0" applyAlignment="0" applyProtection="0"/>
    <xf numFmtId="0" fontId="37" fillId="11" borderId="15" applyNumberFormat="0" applyFont="0" applyAlignment="0" applyProtection="0"/>
    <xf numFmtId="0" fontId="49" fillId="0" borderId="0" applyNumberFormat="0" applyFill="0" applyBorder="0" applyAlignment="0" applyProtection="0"/>
    <xf numFmtId="0" fontId="5" fillId="0" borderId="16" applyNumberFormat="0" applyFill="0" applyAlignment="0" applyProtection="0"/>
    <xf numFmtId="0" fontId="25" fillId="12"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25" fillId="16"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37" fillId="19" borderId="0" applyNumberFormat="0" applyBorder="0" applyAlignment="0" applyProtection="0"/>
    <xf numFmtId="0" fontId="25" fillId="20" borderId="0" applyNumberFormat="0" applyBorder="0" applyAlignment="0" applyProtection="0"/>
    <xf numFmtId="0" fontId="37" fillId="21" borderId="0" applyNumberFormat="0" applyBorder="0" applyAlignment="0" applyProtection="0"/>
    <xf numFmtId="0" fontId="37" fillId="22" borderId="0" applyNumberFormat="0" applyBorder="0" applyAlignment="0" applyProtection="0"/>
    <xf numFmtId="0" fontId="37" fillId="23" borderId="0" applyNumberFormat="0" applyBorder="0" applyAlignment="0" applyProtection="0"/>
    <xf numFmtId="0" fontId="25" fillId="24" borderId="0" applyNumberFormat="0" applyBorder="0" applyAlignment="0" applyProtection="0"/>
    <xf numFmtId="0" fontId="37" fillId="25"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25" fillId="28" borderId="0" applyNumberFormat="0" applyBorder="0" applyAlignment="0" applyProtection="0"/>
    <xf numFmtId="0" fontId="37" fillId="29" borderId="0" applyNumberFormat="0" applyBorder="0" applyAlignment="0" applyProtection="0"/>
    <xf numFmtId="0" fontId="37" fillId="30" borderId="0" applyNumberFormat="0" applyBorder="0" applyAlignment="0" applyProtection="0"/>
    <xf numFmtId="0" fontId="37" fillId="31" borderId="0" applyNumberFormat="0" applyBorder="0" applyAlignment="0" applyProtection="0"/>
    <xf numFmtId="0" fontId="25" fillId="32" borderId="0" applyNumberFormat="0" applyBorder="0" applyAlignment="0" applyProtection="0"/>
    <xf numFmtId="0" fontId="37" fillId="33" borderId="0" applyNumberFormat="0" applyBorder="0" applyAlignment="0" applyProtection="0"/>
    <xf numFmtId="0" fontId="37" fillId="34" borderId="0" applyNumberFormat="0" applyBorder="0" applyAlignment="0" applyProtection="0"/>
    <xf numFmtId="0" fontId="37" fillId="35" borderId="0" applyNumberFormat="0" applyBorder="0" applyAlignment="0" applyProtection="0"/>
    <xf numFmtId="0" fontId="67" fillId="36" borderId="17">
      <alignment horizontal="center" vertical="center"/>
    </xf>
  </cellStyleXfs>
  <cellXfs count="408">
    <xf numFmtId="0" fontId="0" fillId="0" borderId="0" xfId="0"/>
    <xf numFmtId="0" fontId="0" fillId="0" borderId="0" xfId="0" applyAlignment="1">
      <alignment horizontal="left" vertical="top"/>
    </xf>
    <xf numFmtId="0" fontId="5" fillId="0" borderId="0" xfId="0" applyFont="1" applyAlignment="1">
      <alignment horizontal="left" vertical="top"/>
    </xf>
    <xf numFmtId="0" fontId="70" fillId="0" borderId="0" xfId="0" applyFont="1" applyAlignment="1">
      <alignment horizontal="center"/>
    </xf>
    <xf numFmtId="0" fontId="22" fillId="5" borderId="0" xfId="3"/>
    <xf numFmtId="0" fontId="8" fillId="4" borderId="0" xfId="2"/>
    <xf numFmtId="0" fontId="42" fillId="7" borderId="0" xfId="10"/>
    <xf numFmtId="0" fontId="43" fillId="8" borderId="11" xfId="11"/>
    <xf numFmtId="0" fontId="35" fillId="0" borderId="7" xfId="0" applyFont="1" applyBorder="1" applyAlignment="1">
      <alignment vertical="center"/>
    </xf>
    <xf numFmtId="0" fontId="0" fillId="0" borderId="0" xfId="0" applyProtection="1">
      <protection locked="0"/>
    </xf>
    <xf numFmtId="0" fontId="0" fillId="0" borderId="0" xfId="0" applyAlignment="1" applyProtection="1">
      <alignment vertical="center"/>
      <protection locked="0"/>
    </xf>
    <xf numFmtId="0" fontId="11" fillId="0" borderId="0" xfId="0" applyFont="1" applyAlignment="1" applyProtection="1">
      <alignment vertical="center"/>
      <protection locked="0"/>
    </xf>
    <xf numFmtId="0" fontId="11" fillId="0" borderId="0" xfId="0" applyFont="1" applyProtection="1">
      <protection locked="0"/>
    </xf>
    <xf numFmtId="0" fontId="11" fillId="0" borderId="0" xfId="0" applyFont="1" applyAlignment="1" applyProtection="1">
      <alignment wrapText="1"/>
      <protection locked="0"/>
    </xf>
    <xf numFmtId="0" fontId="23" fillId="0" borderId="0" xfId="0" applyFont="1" applyAlignment="1" applyProtection="1">
      <alignment horizontal="center" vertical="center" wrapText="1"/>
      <protection locked="0"/>
    </xf>
    <xf numFmtId="0" fontId="16" fillId="0" borderId="0" xfId="0" applyFont="1" applyAlignment="1" applyProtection="1">
      <alignment horizontal="center" vertical="center" wrapText="1"/>
      <protection locked="0"/>
    </xf>
    <xf numFmtId="0" fontId="15" fillId="0" borderId="0" xfId="0" applyFont="1" applyAlignment="1" applyProtection="1">
      <alignment horizontal="left" vertical="center"/>
      <protection locked="0"/>
    </xf>
    <xf numFmtId="0" fontId="15" fillId="0" borderId="0" xfId="0" applyFont="1" applyAlignment="1" applyProtection="1">
      <alignment vertical="center"/>
      <protection locked="0"/>
    </xf>
    <xf numFmtId="0" fontId="5" fillId="0" borderId="0" xfId="0" applyFont="1" applyProtection="1">
      <protection locked="0"/>
    </xf>
    <xf numFmtId="0" fontId="0" fillId="0" borderId="0" xfId="0" applyAlignment="1" applyProtection="1">
      <alignment horizontal="left"/>
      <protection locked="0"/>
    </xf>
    <xf numFmtId="0" fontId="47" fillId="2" borderId="0" xfId="0" applyFont="1" applyFill="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0" xfId="0" applyProtection="1">
      <protection hidden="1"/>
    </xf>
    <xf numFmtId="0" fontId="29" fillId="0" borderId="0" xfId="4" applyProtection="1">
      <protection hidden="1"/>
    </xf>
    <xf numFmtId="0" fontId="29" fillId="0" borderId="0" xfId="4"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6" borderId="0" xfId="0" applyFill="1" applyAlignment="1" applyProtection="1">
      <alignment vertical="center"/>
      <protection hidden="1"/>
    </xf>
    <xf numFmtId="0" fontId="0" fillId="6" borderId="0" xfId="0" applyFill="1" applyAlignment="1" applyProtection="1">
      <alignment horizontal="center" vertical="center"/>
      <protection hidden="1"/>
    </xf>
    <xf numFmtId="0" fontId="0" fillId="6" borderId="0" xfId="0" applyFill="1" applyAlignment="1" applyProtection="1">
      <alignment vertical="center" wrapText="1"/>
      <protection hidden="1"/>
    </xf>
    <xf numFmtId="0" fontId="0" fillId="6" borderId="0" xfId="0" applyFill="1" applyAlignment="1" applyProtection="1">
      <alignment horizontal="left" vertical="center" wrapText="1"/>
      <protection hidden="1"/>
    </xf>
    <xf numFmtId="0" fontId="52" fillId="6" borderId="0" xfId="0" applyFont="1" applyFill="1" applyAlignment="1" applyProtection="1">
      <alignment horizontal="center" vertical="center"/>
      <protection hidden="1"/>
    </xf>
    <xf numFmtId="0" fontId="52" fillId="6" borderId="0" xfId="0" applyFont="1" applyFill="1" applyAlignment="1" applyProtection="1">
      <alignment vertical="center" wrapText="1"/>
      <protection hidden="1"/>
    </xf>
    <xf numFmtId="0" fontId="53" fillId="6" borderId="0" xfId="0" applyFont="1" applyFill="1" applyAlignment="1" applyProtection="1">
      <alignment vertical="center" wrapText="1"/>
      <protection hidden="1"/>
    </xf>
    <xf numFmtId="0" fontId="54" fillId="6" borderId="0" xfId="0" applyFont="1" applyFill="1" applyAlignment="1" applyProtection="1">
      <alignment vertical="center"/>
      <protection hidden="1"/>
    </xf>
    <xf numFmtId="0" fontId="54" fillId="6" borderId="0" xfId="3" applyNumberFormat="1" applyFont="1" applyFill="1" applyBorder="1" applyAlignment="1" applyProtection="1">
      <alignment horizontal="center" vertical="center"/>
      <protection hidden="1"/>
    </xf>
    <xf numFmtId="0" fontId="54" fillId="6" borderId="0" xfId="3" applyNumberFormat="1" applyFont="1" applyFill="1" applyBorder="1" applyAlignment="1" applyProtection="1">
      <alignment vertical="center" wrapText="1"/>
      <protection hidden="1"/>
    </xf>
    <xf numFmtId="0" fontId="54" fillId="6" borderId="0" xfId="0" applyFont="1" applyFill="1" applyAlignment="1" applyProtection="1">
      <alignment horizontal="left" vertical="center" wrapText="1"/>
      <protection hidden="1"/>
    </xf>
    <xf numFmtId="0" fontId="54" fillId="6" borderId="0" xfId="0" applyFont="1" applyFill="1" applyAlignment="1" applyProtection="1">
      <alignment horizontal="center" vertical="center"/>
      <protection hidden="1"/>
    </xf>
    <xf numFmtId="0" fontId="54" fillId="6" borderId="0" xfId="0" applyFont="1" applyFill="1" applyAlignment="1" applyProtection="1">
      <alignment vertical="center" wrapText="1"/>
      <protection hidden="1"/>
    </xf>
    <xf numFmtId="0" fontId="0" fillId="0" borderId="0" xfId="0" applyAlignment="1" applyProtection="1">
      <alignment horizontal="left" vertical="center" wrapText="1"/>
      <protection hidden="1"/>
    </xf>
    <xf numFmtId="0" fontId="52" fillId="0" borderId="0" xfId="0" applyFont="1" applyAlignment="1" applyProtection="1">
      <alignment horizontal="center" vertical="center"/>
      <protection hidden="1"/>
    </xf>
    <xf numFmtId="0" fontId="52" fillId="0" borderId="0" xfId="0" applyFont="1" applyAlignment="1" applyProtection="1">
      <alignment vertical="center" wrapText="1"/>
      <protection hidden="1"/>
    </xf>
    <xf numFmtId="0" fontId="52" fillId="0" borderId="0" xfId="0" applyFont="1" applyAlignment="1" applyProtection="1">
      <alignment horizontal="left" vertical="center" wrapText="1"/>
      <protection hidden="1"/>
    </xf>
    <xf numFmtId="0" fontId="52" fillId="0" borderId="0" xfId="0" applyFont="1" applyAlignment="1" applyProtection="1">
      <alignment horizontal="left" vertical="center"/>
      <protection hidden="1"/>
    </xf>
    <xf numFmtId="0" fontId="53" fillId="0" borderId="0" xfId="0" applyFont="1" applyAlignment="1" applyProtection="1">
      <alignment horizontal="center" vertical="center"/>
      <protection hidden="1"/>
    </xf>
    <xf numFmtId="0" fontId="35" fillId="0" borderId="0" xfId="0" applyFont="1" applyAlignment="1" applyProtection="1">
      <alignment vertical="center"/>
      <protection hidden="1"/>
    </xf>
    <xf numFmtId="0" fontId="35" fillId="0" borderId="0" xfId="0" applyFont="1" applyAlignment="1" applyProtection="1">
      <alignment horizontal="center" vertical="center"/>
      <protection hidden="1"/>
    </xf>
    <xf numFmtId="0" fontId="35" fillId="0" borderId="0" xfId="0" applyFont="1" applyAlignment="1" applyProtection="1">
      <alignment vertical="center" wrapText="1"/>
      <protection hidden="1"/>
    </xf>
    <xf numFmtId="0" fontId="35" fillId="0" borderId="0" xfId="0" applyFont="1" applyAlignment="1" applyProtection="1">
      <alignment horizontal="left" vertical="center" wrapText="1"/>
      <protection hidden="1"/>
    </xf>
    <xf numFmtId="0" fontId="54" fillId="0" borderId="0" xfId="0" applyFont="1" applyAlignment="1" applyProtection="1">
      <alignment vertical="center"/>
      <protection hidden="1"/>
    </xf>
    <xf numFmtId="0" fontId="54" fillId="0" borderId="0" xfId="0" applyFont="1" applyAlignment="1" applyProtection="1">
      <alignment horizontal="center" vertical="center"/>
      <protection hidden="1"/>
    </xf>
    <xf numFmtId="0" fontId="54" fillId="0" borderId="0" xfId="0" applyFont="1" applyAlignment="1" applyProtection="1">
      <alignment vertical="center" wrapText="1"/>
      <protection hidden="1"/>
    </xf>
    <xf numFmtId="0" fontId="54" fillId="0" borderId="0" xfId="0" applyFont="1" applyAlignment="1" applyProtection="1">
      <alignment horizontal="left" vertical="center" wrapText="1"/>
      <protection hidden="1"/>
    </xf>
    <xf numFmtId="0" fontId="55" fillId="0" borderId="0" xfId="0" applyFont="1" applyAlignment="1" applyProtection="1">
      <alignment vertical="center"/>
      <protection hidden="1"/>
    </xf>
    <xf numFmtId="0" fontId="55" fillId="0" borderId="0" xfId="0" applyFont="1" applyAlignment="1" applyProtection="1">
      <alignment horizontal="center" vertical="center"/>
      <protection hidden="1"/>
    </xf>
    <xf numFmtId="0" fontId="55" fillId="0" borderId="0" xfId="0" applyFont="1" applyAlignment="1" applyProtection="1">
      <alignment vertical="center" wrapText="1"/>
      <protection hidden="1"/>
    </xf>
    <xf numFmtId="0" fontId="55" fillId="0" borderId="0" xfId="0" applyFont="1" applyAlignment="1" applyProtection="1">
      <alignment horizontal="left" vertical="center" wrapText="1"/>
      <protection hidden="1"/>
    </xf>
    <xf numFmtId="0" fontId="56" fillId="0" borderId="0" xfId="0" applyFont="1" applyAlignment="1" applyProtection="1">
      <alignment horizontal="center"/>
      <protection hidden="1"/>
    </xf>
    <xf numFmtId="0" fontId="56" fillId="0" borderId="0" xfId="0" applyFont="1" applyAlignment="1" applyProtection="1">
      <alignment horizontal="left"/>
      <protection hidden="1"/>
    </xf>
    <xf numFmtId="0" fontId="57" fillId="0" borderId="0" xfId="0" applyFont="1" applyAlignment="1" applyProtection="1">
      <alignment horizontal="center"/>
      <protection hidden="1"/>
    </xf>
    <xf numFmtId="0" fontId="57" fillId="0" borderId="0" xfId="0" applyFont="1" applyAlignment="1" applyProtection="1">
      <alignment horizontal="left" vertical="center"/>
      <protection hidden="1"/>
    </xf>
    <xf numFmtId="0" fontId="57" fillId="0" borderId="0" xfId="0" applyFont="1" applyAlignment="1" applyProtection="1">
      <alignment horizontal="left"/>
      <protection hidden="1"/>
    </xf>
    <xf numFmtId="0" fontId="10" fillId="2" borderId="2" xfId="0" applyFont="1" applyFill="1" applyBorder="1" applyAlignment="1" applyProtection="1">
      <alignment horizontal="center" vertical="center" wrapText="1"/>
      <protection hidden="1"/>
    </xf>
    <xf numFmtId="0" fontId="24" fillId="0" borderId="2" xfId="0" applyFont="1" applyBorder="1" applyAlignment="1" applyProtection="1">
      <alignment horizontal="center" vertical="center" wrapText="1"/>
      <protection hidden="1"/>
    </xf>
    <xf numFmtId="0" fontId="24" fillId="0" borderId="2" xfId="0" applyFont="1" applyBorder="1" applyAlignment="1" applyProtection="1">
      <alignment horizontal="left" vertical="center" wrapText="1"/>
      <protection hidden="1"/>
    </xf>
    <xf numFmtId="0" fontId="69" fillId="0" borderId="2" xfId="0" applyFont="1" applyBorder="1" applyAlignment="1" applyProtection="1">
      <alignment horizontal="center" vertical="center" wrapText="1"/>
      <protection hidden="1"/>
    </xf>
    <xf numFmtId="0" fontId="11" fillId="0" borderId="0" xfId="0" applyFont="1" applyProtection="1">
      <protection hidden="1"/>
    </xf>
    <xf numFmtId="0" fontId="11" fillId="0" borderId="0" xfId="0" applyFont="1" applyAlignment="1" applyProtection="1">
      <alignment wrapText="1"/>
      <protection hidden="1"/>
    </xf>
    <xf numFmtId="0" fontId="24" fillId="0" borderId="4" xfId="0" applyFont="1" applyBorder="1" applyAlignment="1" applyProtection="1">
      <alignment horizontal="center" vertical="center"/>
      <protection hidden="1"/>
    </xf>
    <xf numFmtId="0" fontId="24" fillId="0" borderId="3" xfId="0" applyFont="1" applyBorder="1" applyAlignment="1" applyProtection="1">
      <alignment horizontal="center" vertical="center"/>
      <protection hidden="1"/>
    </xf>
    <xf numFmtId="0" fontId="11" fillId="0" borderId="0" xfId="0" applyFont="1" applyAlignment="1" applyProtection="1">
      <alignment vertical="center" wrapText="1"/>
      <protection hidden="1"/>
    </xf>
    <xf numFmtId="0" fontId="5" fillId="0" borderId="0" xfId="0" applyFont="1" applyAlignment="1" applyProtection="1">
      <alignment horizontal="center"/>
      <protection hidden="1"/>
    </xf>
    <xf numFmtId="0" fontId="59" fillId="38" borderId="1" xfId="0" applyFont="1" applyFill="1" applyBorder="1" applyAlignment="1" applyProtection="1">
      <alignment horizontal="justify" vertical="center"/>
      <protection hidden="1"/>
    </xf>
    <xf numFmtId="0" fontId="0" fillId="38" borderId="1" xfId="0" applyFill="1" applyBorder="1" applyProtection="1">
      <protection hidden="1"/>
    </xf>
    <xf numFmtId="0" fontId="60" fillId="2" borderId="19" xfId="0" applyFont="1" applyFill="1" applyBorder="1" applyAlignment="1" applyProtection="1">
      <alignment horizontal="center" vertical="center" wrapText="1"/>
      <protection hidden="1"/>
    </xf>
    <xf numFmtId="0" fontId="60" fillId="2" borderId="22" xfId="0" applyFont="1" applyFill="1" applyBorder="1" applyAlignment="1" applyProtection="1">
      <alignment horizontal="center" vertical="center" wrapText="1"/>
      <protection hidden="1"/>
    </xf>
    <xf numFmtId="0" fontId="61" fillId="2" borderId="2" xfId="0" applyFont="1" applyFill="1" applyBorder="1" applyAlignment="1" applyProtection="1">
      <alignment horizontal="center" vertical="center" wrapText="1"/>
      <protection hidden="1"/>
    </xf>
    <xf numFmtId="0" fontId="60" fillId="2" borderId="23" xfId="0" applyFont="1" applyFill="1" applyBorder="1" applyAlignment="1" applyProtection="1">
      <alignment horizontal="center" vertical="center" wrapText="1"/>
      <protection hidden="1"/>
    </xf>
    <xf numFmtId="0" fontId="62" fillId="37" borderId="22" xfId="0" applyFont="1" applyFill="1" applyBorder="1" applyAlignment="1" applyProtection="1">
      <alignment horizontal="center" vertical="center" wrapText="1"/>
      <protection hidden="1"/>
    </xf>
    <xf numFmtId="0" fontId="64" fillId="3" borderId="22" xfId="0" applyFont="1" applyFill="1" applyBorder="1" applyAlignment="1" applyProtection="1">
      <alignment horizontal="center" vertical="center"/>
      <protection hidden="1"/>
    </xf>
    <xf numFmtId="0" fontId="65" fillId="3" borderId="2" xfId="0" applyFont="1" applyFill="1" applyBorder="1" applyAlignment="1" applyProtection="1">
      <alignment horizontal="center" vertical="center" wrapText="1"/>
      <protection hidden="1"/>
    </xf>
    <xf numFmtId="0" fontId="66" fillId="3" borderId="23" xfId="0" applyFont="1" applyFill="1" applyBorder="1" applyAlignment="1" applyProtection="1">
      <alignment horizontal="center" vertical="center" wrapText="1"/>
      <protection hidden="1"/>
    </xf>
    <xf numFmtId="0" fontId="66" fillId="3" borderId="2" xfId="0" applyFont="1" applyFill="1" applyBorder="1" applyAlignment="1" applyProtection="1">
      <alignment horizontal="center" vertical="center" wrapText="1"/>
      <protection hidden="1"/>
    </xf>
    <xf numFmtId="0" fontId="64" fillId="3" borderId="24" xfId="0" applyFont="1" applyFill="1" applyBorder="1" applyAlignment="1" applyProtection="1">
      <alignment horizontal="center" vertical="center"/>
      <protection hidden="1"/>
    </xf>
    <xf numFmtId="0" fontId="66" fillId="3" borderId="25" xfId="0" applyFont="1" applyFill="1" applyBorder="1" applyAlignment="1" applyProtection="1">
      <alignment horizontal="center" vertical="center" wrapText="1"/>
      <protection hidden="1"/>
    </xf>
    <xf numFmtId="0" fontId="65" fillId="3" borderId="25" xfId="0" applyFont="1" applyFill="1" applyBorder="1" applyAlignment="1" applyProtection="1">
      <alignment horizontal="center" vertical="center" wrapText="1"/>
      <protection hidden="1"/>
    </xf>
    <xf numFmtId="0" fontId="66" fillId="3" borderId="26" xfId="0" applyFont="1" applyFill="1" applyBorder="1" applyAlignment="1" applyProtection="1">
      <alignment horizontal="center" vertical="center" wrapText="1"/>
      <protection hidden="1"/>
    </xf>
    <xf numFmtId="0" fontId="61" fillId="2" borderId="20" xfId="0" applyFont="1" applyFill="1" applyBorder="1" applyAlignment="1" applyProtection="1">
      <alignment horizontal="center" vertical="center" wrapText="1"/>
      <protection hidden="1"/>
    </xf>
    <xf numFmtId="0" fontId="61" fillId="2" borderId="21" xfId="0" applyFont="1" applyFill="1" applyBorder="1" applyAlignment="1" applyProtection="1">
      <alignment horizontal="center" vertical="center" wrapText="1"/>
      <protection hidden="1"/>
    </xf>
    <xf numFmtId="0" fontId="61" fillId="2" borderId="23" xfId="0" applyFont="1" applyFill="1" applyBorder="1" applyAlignment="1" applyProtection="1">
      <alignment horizontal="center" vertical="center" wrapText="1"/>
      <protection hidden="1"/>
    </xf>
    <xf numFmtId="0" fontId="66" fillId="3" borderId="2" xfId="0" applyFont="1" applyFill="1" applyBorder="1" applyAlignment="1" applyProtection="1">
      <alignment horizontal="center" vertical="center"/>
      <protection hidden="1"/>
    </xf>
    <xf numFmtId="0" fontId="64" fillId="3" borderId="22" xfId="0" applyFont="1" applyFill="1" applyBorder="1" applyAlignment="1" applyProtection="1">
      <alignment horizontal="center" vertical="center" wrapText="1"/>
      <protection hidden="1"/>
    </xf>
    <xf numFmtId="0" fontId="64" fillId="3" borderId="24" xfId="0" applyFont="1" applyFill="1" applyBorder="1" applyAlignment="1" applyProtection="1">
      <alignment horizontal="center" vertical="center" wrapText="1"/>
      <protection hidden="1"/>
    </xf>
    <xf numFmtId="0" fontId="51" fillId="0" borderId="0" xfId="4" applyFont="1" applyAlignment="1" applyProtection="1">
      <alignment vertical="center"/>
      <protection hidden="1"/>
    </xf>
    <xf numFmtId="0" fontId="15" fillId="0" borderId="0" xfId="0" applyFont="1" applyAlignment="1" applyProtection="1">
      <alignment horizontal="left" vertical="center"/>
      <protection hidden="1"/>
    </xf>
    <xf numFmtId="0" fontId="15" fillId="0" borderId="0" xfId="0" applyFont="1" applyAlignment="1" applyProtection="1">
      <alignment vertical="center"/>
      <protection hidden="1"/>
    </xf>
    <xf numFmtId="0" fontId="21" fillId="6" borderId="1" xfId="0" applyFont="1" applyFill="1" applyBorder="1" applyAlignment="1" applyProtection="1">
      <alignment horizontal="left" vertical="center"/>
      <protection hidden="1"/>
    </xf>
    <xf numFmtId="0" fontId="30" fillId="0" borderId="0" xfId="0" applyFont="1" applyAlignment="1" applyProtection="1">
      <alignment horizontal="left" vertical="center"/>
      <protection hidden="1"/>
    </xf>
    <xf numFmtId="0" fontId="15" fillId="0" borderId="0" xfId="0" applyFont="1" applyAlignment="1" applyProtection="1">
      <alignment horizontal="left" vertical="center" wrapText="1"/>
      <protection hidden="1"/>
    </xf>
    <xf numFmtId="0" fontId="30" fillId="0" borderId="0" xfId="0" applyFont="1" applyAlignment="1" applyProtection="1">
      <alignment horizontal="left" vertical="center" wrapText="1"/>
      <protection hidden="1"/>
    </xf>
    <xf numFmtId="0" fontId="15" fillId="0" borderId="6" xfId="0" applyFont="1" applyBorder="1" applyAlignment="1" applyProtection="1">
      <alignment horizontal="left" vertical="center" wrapText="1"/>
      <protection hidden="1"/>
    </xf>
    <xf numFmtId="0" fontId="15" fillId="0" borderId="0" xfId="0" applyFont="1" applyAlignment="1" applyProtection="1">
      <alignment horizontal="left" vertical="center" indent="2"/>
      <protection hidden="1"/>
    </xf>
    <xf numFmtId="0" fontId="15" fillId="0" borderId="0" xfId="0" applyFont="1" applyAlignment="1" applyProtection="1">
      <alignment horizontal="left" vertical="center" indent="4"/>
      <protection hidden="1"/>
    </xf>
    <xf numFmtId="0" fontId="50" fillId="0" borderId="0" xfId="4" applyFont="1" applyAlignment="1" applyProtection="1">
      <alignment vertical="center"/>
      <protection hidden="1"/>
    </xf>
    <xf numFmtId="0" fontId="11" fillId="0" borderId="0" xfId="0" applyFont="1" applyAlignment="1" applyProtection="1">
      <alignment vertical="center"/>
      <protection hidden="1"/>
    </xf>
    <xf numFmtId="0" fontId="11" fillId="0" borderId="0" xfId="0" applyFont="1" applyAlignment="1" applyProtection="1">
      <alignment horizontal="center" vertical="center"/>
      <protection hidden="1"/>
    </xf>
    <xf numFmtId="0" fontId="11" fillId="0" borderId="0" xfId="0" applyFont="1" applyAlignment="1" applyProtection="1">
      <alignment horizontal="left" vertical="center" wrapText="1"/>
      <protection hidden="1"/>
    </xf>
    <xf numFmtId="0" fontId="11" fillId="0" borderId="0" xfId="0" applyFont="1" applyAlignment="1" applyProtection="1">
      <alignment horizontal="center" vertical="center" wrapText="1"/>
      <protection hidden="1"/>
    </xf>
    <xf numFmtId="0" fontId="50" fillId="0" borderId="0" xfId="4" applyFont="1" applyFill="1" applyAlignment="1" applyProtection="1">
      <alignment horizontal="center" vertical="center" wrapText="1"/>
      <protection hidden="1"/>
    </xf>
    <xf numFmtId="0" fontId="21" fillId="0" borderId="0" xfId="0" applyFont="1" applyAlignment="1" applyProtection="1">
      <alignment horizontal="left" vertical="center" wrapText="1"/>
      <protection hidden="1"/>
    </xf>
    <xf numFmtId="0" fontId="9" fillId="0" borderId="0" xfId="0" applyFont="1" applyAlignment="1" applyProtection="1">
      <alignment horizontal="left" vertical="center" wrapText="1"/>
      <protection hidden="1"/>
    </xf>
    <xf numFmtId="0" fontId="9" fillId="6" borderId="1" xfId="0" applyFont="1" applyFill="1" applyBorder="1" applyAlignment="1" applyProtection="1">
      <alignment vertical="center"/>
      <protection hidden="1"/>
    </xf>
    <xf numFmtId="0" fontId="9" fillId="0" borderId="0" xfId="0" applyFont="1" applyAlignment="1" applyProtection="1">
      <alignment vertical="center" wrapText="1"/>
      <protection hidden="1"/>
    </xf>
    <xf numFmtId="0" fontId="15" fillId="0" borderId="0" xfId="0" applyFont="1" applyAlignment="1" applyProtection="1">
      <alignment vertical="center" wrapText="1"/>
      <protection hidden="1"/>
    </xf>
    <xf numFmtId="0" fontId="15" fillId="3" borderId="0" xfId="0" applyFont="1" applyFill="1" applyAlignment="1" applyProtection="1">
      <alignment vertical="center"/>
      <protection hidden="1"/>
    </xf>
    <xf numFmtId="0" fontId="11" fillId="0" borderId="0" xfId="0" applyFont="1" applyAlignment="1" applyProtection="1">
      <alignment horizontal="justify" vertical="center"/>
      <protection hidden="1"/>
    </xf>
    <xf numFmtId="0" fontId="11"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9" fillId="0" borderId="0" xfId="0" applyFont="1" applyAlignment="1" applyProtection="1">
      <alignment horizontal="center" vertical="center" wrapText="1"/>
      <protection hidden="1"/>
    </xf>
    <xf numFmtId="0" fontId="11" fillId="0" borderId="0" xfId="0" applyFont="1" applyAlignment="1" applyProtection="1">
      <alignment horizontal="justify" vertical="center" wrapText="1"/>
      <protection hidden="1"/>
    </xf>
    <xf numFmtId="0" fontId="50" fillId="0" borderId="0" xfId="4" applyFont="1" applyBorder="1" applyProtection="1">
      <protection hidden="1"/>
    </xf>
    <xf numFmtId="0" fontId="50" fillId="0" borderId="0" xfId="4" applyFont="1" applyProtection="1">
      <protection hidden="1"/>
    </xf>
    <xf numFmtId="0" fontId="9" fillId="6" borderId="5" xfId="0" applyFont="1" applyFill="1" applyBorder="1" applyProtection="1">
      <protection hidden="1"/>
    </xf>
    <xf numFmtId="0" fontId="11" fillId="0" borderId="0" xfId="0" applyFont="1" applyAlignment="1" applyProtection="1">
      <alignment horizontal="left" vertical="top" wrapText="1"/>
      <protection hidden="1"/>
    </xf>
    <xf numFmtId="0" fontId="16" fillId="3" borderId="0" xfId="0" applyFont="1" applyFill="1" applyAlignment="1" applyProtection="1">
      <alignment vertical="center"/>
      <protection hidden="1"/>
    </xf>
    <xf numFmtId="0" fontId="9" fillId="0" borderId="0" xfId="0" applyFont="1" applyProtection="1">
      <protection hidden="1"/>
    </xf>
    <xf numFmtId="0" fontId="50" fillId="0" borderId="0" xfId="4" applyFont="1" applyFill="1" applyBorder="1" applyAlignment="1" applyProtection="1">
      <alignment horizontal="center" vertical="center" wrapText="1"/>
      <protection hidden="1"/>
    </xf>
    <xf numFmtId="0" fontId="16" fillId="0" borderId="0" xfId="0" applyFont="1" applyAlignment="1" applyProtection="1">
      <alignment horizontal="center" vertical="center" wrapText="1"/>
      <protection hidden="1"/>
    </xf>
    <xf numFmtId="0" fontId="50" fillId="0" borderId="0" xfId="4" applyFont="1" applyFill="1" applyBorder="1" applyAlignment="1" applyProtection="1">
      <alignment vertical="center"/>
      <protection hidden="1"/>
    </xf>
    <xf numFmtId="0" fontId="9" fillId="6" borderId="5" xfId="0" applyFont="1" applyFill="1" applyBorder="1" applyAlignment="1" applyProtection="1">
      <alignment vertical="center"/>
      <protection hidden="1"/>
    </xf>
    <xf numFmtId="0" fontId="9" fillId="6" borderId="5" xfId="0" applyFont="1" applyFill="1" applyBorder="1" applyAlignment="1" applyProtection="1">
      <alignment horizontal="left" vertical="center"/>
      <protection hidden="1"/>
    </xf>
    <xf numFmtId="0" fontId="11" fillId="0" borderId="0" xfId="0" applyFont="1" applyAlignment="1" applyProtection="1">
      <alignment horizontal="left" vertical="center" indent="2"/>
      <protection hidden="1"/>
    </xf>
    <xf numFmtId="0" fontId="16" fillId="0" borderId="0" xfId="0" applyFont="1" applyAlignment="1" applyProtection="1">
      <alignment vertical="center" wrapText="1"/>
      <protection hidden="1"/>
    </xf>
    <xf numFmtId="0" fontId="50" fillId="0" borderId="0" xfId="4" applyFont="1" applyAlignment="1" applyProtection="1">
      <alignment horizontal="center" vertical="center" wrapText="1"/>
      <protection hidden="1"/>
    </xf>
    <xf numFmtId="0" fontId="16" fillId="0" borderId="0" xfId="0" applyFont="1" applyAlignment="1" applyProtection="1">
      <alignment horizontal="justify" vertical="center"/>
      <protection hidden="1"/>
    </xf>
    <xf numFmtId="0" fontId="12" fillId="0" borderId="0" xfId="0" applyFont="1" applyAlignment="1" applyProtection="1">
      <alignment vertical="center"/>
      <protection hidden="1"/>
    </xf>
    <xf numFmtId="0" fontId="15" fillId="0" borderId="0" xfId="0" applyFont="1" applyAlignment="1" applyProtection="1">
      <alignment horizontal="left" indent="2"/>
      <protection hidden="1"/>
    </xf>
    <xf numFmtId="0" fontId="11" fillId="0" borderId="0" xfId="0" applyFont="1" applyAlignment="1" applyProtection="1">
      <alignment horizontal="left" indent="2"/>
      <protection hidden="1"/>
    </xf>
    <xf numFmtId="0" fontId="11" fillId="0" borderId="0" xfId="0" applyFont="1" applyAlignment="1" applyProtection="1">
      <alignment horizontal="left" vertical="center" indent="10"/>
      <protection hidden="1"/>
    </xf>
    <xf numFmtId="0" fontId="11" fillId="0" borderId="0" xfId="0" applyFont="1" applyAlignment="1" applyProtection="1">
      <alignment horizontal="left" vertical="center" indent="4"/>
      <protection hidden="1"/>
    </xf>
    <xf numFmtId="0" fontId="16" fillId="0" borderId="0" xfId="0" applyFont="1" applyAlignment="1" applyProtection="1">
      <alignment vertical="center"/>
      <protection hidden="1"/>
    </xf>
    <xf numFmtId="0" fontId="7" fillId="0" borderId="0" xfId="0" applyFont="1" applyAlignment="1" applyProtection="1">
      <alignment horizontal="left" vertical="center"/>
      <protection hidden="1"/>
    </xf>
    <xf numFmtId="0" fontId="36" fillId="0" borderId="0" xfId="0" applyFont="1" applyAlignment="1" applyProtection="1">
      <alignment vertical="center"/>
      <protection hidden="1"/>
    </xf>
    <xf numFmtId="0" fontId="15" fillId="0" borderId="0" xfId="1" applyFont="1" applyProtection="1">
      <protection hidden="1"/>
    </xf>
    <xf numFmtId="0" fontId="15" fillId="0" borderId="0" xfId="1" applyFont="1" applyAlignment="1" applyProtection="1">
      <alignment horizontal="left" indent="2"/>
      <protection hidden="1"/>
    </xf>
    <xf numFmtId="0" fontId="21" fillId="0" borderId="0" xfId="0" applyFont="1" applyAlignment="1" applyProtection="1">
      <alignment vertical="center" wrapText="1"/>
      <protection hidden="1"/>
    </xf>
    <xf numFmtId="0" fontId="9" fillId="0" borderId="0" xfId="0" applyFont="1" applyAlignment="1" applyProtection="1">
      <alignment horizontal="justify" vertical="center" wrapText="1"/>
      <protection hidden="1"/>
    </xf>
    <xf numFmtId="0" fontId="0" fillId="39" borderId="30" xfId="0" applyFill="1" applyBorder="1" applyAlignment="1" applyProtection="1">
      <alignment horizontal="center"/>
      <protection locked="0"/>
    </xf>
    <xf numFmtId="0" fontId="26" fillId="2" borderId="0" xfId="0" applyFont="1" applyFill="1" applyAlignment="1" applyProtection="1">
      <alignment horizontal="center" vertical="center" wrapText="1"/>
      <protection locked="0"/>
    </xf>
    <xf numFmtId="0" fontId="11" fillId="0" borderId="2" xfId="0" applyFont="1" applyBorder="1" applyAlignment="1" applyProtection="1">
      <alignment vertical="center"/>
      <protection locked="0"/>
    </xf>
    <xf numFmtId="0" fontId="11" fillId="0" borderId="0" xfId="0" applyFont="1" applyAlignment="1" applyProtection="1">
      <alignment vertical="center"/>
      <protection locked="0" hidden="1"/>
    </xf>
    <xf numFmtId="0" fontId="11" fillId="0" borderId="2" xfId="0" applyFont="1" applyBorder="1" applyAlignment="1" applyProtection="1">
      <alignment horizontal="justify" vertical="center" wrapText="1"/>
      <protection hidden="1"/>
    </xf>
    <xf numFmtId="0" fontId="21" fillId="0" borderId="2" xfId="0" applyFont="1" applyBorder="1" applyAlignment="1" applyProtection="1">
      <alignment horizontal="left" vertical="center" wrapText="1"/>
      <protection hidden="1"/>
    </xf>
    <xf numFmtId="0" fontId="11" fillId="0" borderId="32" xfId="0" applyFont="1" applyBorder="1" applyAlignment="1" applyProtection="1">
      <alignment vertical="center"/>
      <protection locked="0"/>
    </xf>
    <xf numFmtId="0" fontId="11" fillId="0" borderId="2" xfId="0" applyFont="1" applyBorder="1" applyAlignment="1" applyProtection="1">
      <alignment horizontal="justify" vertical="top" wrapText="1"/>
      <protection locked="0"/>
    </xf>
    <xf numFmtId="14" fontId="26" fillId="40" borderId="2" xfId="0" applyNumberFormat="1" applyFont="1" applyFill="1" applyBorder="1" applyAlignment="1">
      <alignment horizontal="center" vertical="center"/>
    </xf>
    <xf numFmtId="0" fontId="26" fillId="40" borderId="31" xfId="0" applyFont="1" applyFill="1" applyBorder="1" applyAlignment="1">
      <alignment horizontal="center" vertical="center"/>
    </xf>
    <xf numFmtId="0" fontId="67" fillId="36" borderId="17" xfId="44">
      <alignment horizontal="center" vertical="center"/>
    </xf>
    <xf numFmtId="0" fontId="11" fillId="0" borderId="0" xfId="0" applyFont="1" applyAlignment="1">
      <alignment horizontal="center" vertical="center" wrapText="1"/>
    </xf>
    <xf numFmtId="0" fontId="26" fillId="2" borderId="0" xfId="0" applyFont="1" applyFill="1" applyAlignment="1">
      <alignment horizontal="center" vertical="center" wrapText="1"/>
    </xf>
    <xf numFmtId="0" fontId="11" fillId="0" borderId="0" xfId="0" applyFont="1" applyAlignment="1">
      <alignment vertical="center"/>
    </xf>
    <xf numFmtId="0" fontId="26" fillId="2" borderId="0" xfId="0" applyFont="1" applyFill="1" applyAlignment="1">
      <alignment horizontal="left" vertical="center" wrapText="1"/>
    </xf>
    <xf numFmtId="0" fontId="26" fillId="40" borderId="2" xfId="0" applyFont="1" applyFill="1" applyBorder="1" applyAlignment="1">
      <alignment horizontal="left" vertical="center" wrapText="1"/>
    </xf>
    <xf numFmtId="0" fontId="11" fillId="0" borderId="0" xfId="0" applyFont="1" applyAlignment="1">
      <alignment horizontal="left" vertical="center"/>
    </xf>
    <xf numFmtId="0" fontId="47" fillId="2" borderId="0" xfId="0" applyFont="1" applyFill="1" applyAlignment="1">
      <alignment horizontal="center" vertical="center" wrapText="1"/>
    </xf>
    <xf numFmtId="14" fontId="0" fillId="0" borderId="2" xfId="0" applyNumberFormat="1" applyBorder="1" applyAlignment="1">
      <alignment horizontal="center" vertical="center" wrapText="1"/>
    </xf>
    <xf numFmtId="0" fontId="0" fillId="0" borderId="2" xfId="0" applyBorder="1" applyAlignment="1">
      <alignment horizontal="center" vertical="center" wrapText="1"/>
    </xf>
    <xf numFmtId="0" fontId="0" fillId="0" borderId="2" xfId="0" applyBorder="1" applyAlignment="1">
      <alignment horizontal="justify" vertical="top" wrapText="1"/>
    </xf>
    <xf numFmtId="0" fontId="0" fillId="0" borderId="0" xfId="0" applyAlignment="1">
      <alignment horizontal="center" vertical="center" wrapText="1"/>
    </xf>
    <xf numFmtId="0" fontId="73" fillId="0" borderId="0" xfId="0" applyFont="1"/>
    <xf numFmtId="14" fontId="74" fillId="39" borderId="2" xfId="0" applyNumberFormat="1" applyFont="1" applyFill="1" applyBorder="1" applyAlignment="1">
      <alignment horizontal="center" vertical="center" wrapText="1"/>
    </xf>
    <xf numFmtId="0" fontId="74" fillId="39" borderId="2" xfId="0" applyFont="1" applyFill="1" applyBorder="1" applyAlignment="1">
      <alignment horizontal="left" vertical="center" wrapText="1"/>
    </xf>
    <xf numFmtId="0" fontId="74" fillId="39" borderId="2" xfId="0" applyFont="1" applyFill="1" applyBorder="1" applyAlignment="1">
      <alignment horizontal="center" vertical="center" wrapText="1"/>
    </xf>
    <xf numFmtId="14" fontId="11" fillId="39" borderId="2" xfId="0" applyNumberFormat="1" applyFont="1" applyFill="1" applyBorder="1" applyAlignment="1">
      <alignment horizontal="center" vertical="center" wrapText="1"/>
    </xf>
    <xf numFmtId="0" fontId="11" fillId="39" borderId="2" xfId="0" applyFont="1" applyFill="1" applyBorder="1" applyAlignment="1">
      <alignment horizontal="left" vertical="center" wrapText="1"/>
    </xf>
    <xf numFmtId="0" fontId="11" fillId="39" borderId="2" xfId="0" applyFont="1" applyFill="1" applyBorder="1" applyAlignment="1">
      <alignment horizontal="center" vertical="center" wrapText="1"/>
    </xf>
    <xf numFmtId="0" fontId="11" fillId="0" borderId="2" xfId="0" applyFont="1" applyBorder="1" applyAlignment="1">
      <alignment horizontal="justify" vertical="top" wrapText="1"/>
    </xf>
    <xf numFmtId="0" fontId="29" fillId="42" borderId="0" xfId="4" applyFill="1" applyProtection="1">
      <protection hidden="1"/>
    </xf>
    <xf numFmtId="0" fontId="0" fillId="42" borderId="0" xfId="0" applyFill="1" applyProtection="1">
      <protection locked="0"/>
    </xf>
    <xf numFmtId="0" fontId="25" fillId="2" borderId="0" xfId="0" applyFont="1" applyFill="1" applyAlignment="1" applyProtection="1">
      <alignment horizontal="center" vertical="center" wrapText="1"/>
      <protection locked="0"/>
    </xf>
    <xf numFmtId="0" fontId="25" fillId="2" borderId="0" xfId="0" applyFont="1" applyFill="1" applyAlignment="1">
      <alignment horizontal="center" vertical="center" wrapText="1"/>
    </xf>
    <xf numFmtId="0" fontId="11" fillId="0" borderId="34" xfId="0" applyFont="1" applyBorder="1" applyAlignment="1" applyProtection="1">
      <alignment horizontal="center" vertical="center" wrapText="1"/>
      <protection hidden="1"/>
    </xf>
    <xf numFmtId="0" fontId="11" fillId="0" borderId="34" xfId="0" applyFont="1" applyBorder="1" applyAlignment="1" applyProtection="1">
      <alignment vertical="center"/>
      <protection locked="0"/>
    </xf>
    <xf numFmtId="0" fontId="11" fillId="0" borderId="34" xfId="2" applyFont="1" applyFill="1" applyBorder="1" applyAlignment="1" applyProtection="1">
      <alignment horizontal="justify" vertical="center" wrapText="1"/>
      <protection locked="0"/>
    </xf>
    <xf numFmtId="0" fontId="2" fillId="0" borderId="34" xfId="0" applyFont="1" applyBorder="1" applyAlignment="1" applyProtection="1">
      <alignment horizontal="center" vertical="center" wrapText="1"/>
      <protection hidden="1"/>
    </xf>
    <xf numFmtId="0" fontId="1" fillId="0" borderId="34" xfId="0" applyFont="1" applyBorder="1" applyAlignment="1" applyProtection="1">
      <alignment horizontal="justify" vertical="center" wrapText="1"/>
      <protection hidden="1"/>
    </xf>
    <xf numFmtId="0" fontId="1" fillId="0" borderId="34" xfId="0" applyFont="1" applyBorder="1" applyAlignment="1" applyProtection="1">
      <alignment horizontal="center" vertical="center" wrapText="1"/>
      <protection hidden="1"/>
    </xf>
    <xf numFmtId="0" fontId="11" fillId="0" borderId="34" xfId="0" applyFont="1" applyBorder="1" applyAlignment="1" applyProtection="1">
      <alignment vertical="center" wrapText="1"/>
      <protection locked="0"/>
    </xf>
    <xf numFmtId="14" fontId="11" fillId="43" borderId="2" xfId="0" applyNumberFormat="1" applyFont="1" applyFill="1" applyBorder="1" applyAlignment="1">
      <alignment horizontal="center" vertical="center" wrapText="1"/>
    </xf>
    <xf numFmtId="0" fontId="11" fillId="43" borderId="2" xfId="0" applyFont="1" applyFill="1" applyBorder="1" applyAlignment="1">
      <alignment horizontal="left" vertical="center" wrapText="1"/>
    </xf>
    <xf numFmtId="0" fontId="11" fillId="43" borderId="2" xfId="0" applyFont="1" applyFill="1" applyBorder="1" applyAlignment="1">
      <alignment horizontal="center" vertical="center" wrapText="1"/>
    </xf>
    <xf numFmtId="0" fontId="69" fillId="39" borderId="2" xfId="0" applyFont="1" applyFill="1" applyBorder="1" applyAlignment="1">
      <alignment horizontal="left" vertical="center" wrapText="1"/>
    </xf>
    <xf numFmtId="0" fontId="50" fillId="43" borderId="2" xfId="4" applyFont="1" applyFill="1" applyBorder="1" applyAlignment="1">
      <alignment horizontal="left" vertical="center" wrapText="1"/>
    </xf>
    <xf numFmtId="0" fontId="50" fillId="43" borderId="2" xfId="4" applyFont="1" applyFill="1" applyBorder="1" applyAlignment="1">
      <alignment horizontal="center" vertical="center" wrapText="1"/>
    </xf>
    <xf numFmtId="0" fontId="72" fillId="43" borderId="0" xfId="0" applyFont="1" applyFill="1" applyAlignment="1">
      <alignment horizontal="left" vertical="center" wrapText="1"/>
    </xf>
    <xf numFmtId="0" fontId="11" fillId="44" borderId="2" xfId="0" applyFont="1" applyFill="1" applyBorder="1" applyAlignment="1">
      <alignment horizontal="center" vertical="center" wrapText="1"/>
    </xf>
    <xf numFmtId="0" fontId="69" fillId="43" borderId="2" xfId="0" applyFont="1" applyFill="1" applyBorder="1" applyAlignment="1">
      <alignment horizontal="left" vertical="center" wrapText="1"/>
    </xf>
    <xf numFmtId="0" fontId="15" fillId="43" borderId="34" xfId="0" applyFont="1" applyFill="1" applyBorder="1" applyAlignment="1" applyProtection="1">
      <alignment horizontal="center" vertical="center"/>
      <protection hidden="1"/>
    </xf>
    <xf numFmtId="0" fontId="15" fillId="43" borderId="34" xfId="0" applyFont="1" applyFill="1" applyBorder="1" applyAlignment="1" applyProtection="1">
      <alignment vertical="center" wrapText="1"/>
      <protection hidden="1"/>
    </xf>
    <xf numFmtId="0" fontId="15" fillId="43" borderId="34" xfId="0" applyFont="1" applyFill="1" applyBorder="1" applyAlignment="1" applyProtection="1">
      <alignment horizontal="justify" vertical="center"/>
      <protection hidden="1"/>
    </xf>
    <xf numFmtId="165" fontId="0" fillId="0" borderId="2" xfId="0" applyNumberFormat="1" applyBorder="1" applyAlignment="1">
      <alignment horizontal="center" vertical="center" wrapText="1"/>
    </xf>
    <xf numFmtId="165" fontId="0" fillId="0" borderId="2" xfId="0" applyNumberFormat="1" applyBorder="1" applyAlignment="1">
      <alignment horizontal="center" vertical="top" wrapText="1"/>
    </xf>
    <xf numFmtId="0" fontId="0" fillId="0" borderId="2" xfId="0" applyBorder="1" applyAlignment="1">
      <alignment horizontal="justify" vertical="center" wrapText="1"/>
    </xf>
    <xf numFmtId="0" fontId="80" fillId="43" borderId="0" xfId="0" applyFont="1" applyFill="1" applyAlignment="1">
      <alignment wrapText="1"/>
    </xf>
    <xf numFmtId="0" fontId="81" fillId="41" borderId="0" xfId="0" applyFont="1" applyFill="1" applyProtection="1">
      <protection locked="0"/>
    </xf>
    <xf numFmtId="0" fontId="69" fillId="43" borderId="2" xfId="0" applyFont="1" applyFill="1" applyBorder="1" applyAlignment="1">
      <alignment horizontal="left" vertical="top" wrapText="1"/>
    </xf>
    <xf numFmtId="0" fontId="0" fillId="43" borderId="0" xfId="0" applyFill="1" applyAlignment="1">
      <alignment wrapText="1"/>
    </xf>
    <xf numFmtId="0" fontId="11" fillId="0" borderId="2" xfId="0" applyFont="1" applyBorder="1" applyAlignment="1">
      <alignment horizontal="center" vertical="center" wrapText="1"/>
    </xf>
    <xf numFmtId="0" fontId="77" fillId="43" borderId="2" xfId="0" applyFont="1" applyFill="1" applyBorder="1" applyAlignment="1">
      <alignment horizontal="left" vertical="top" wrapText="1"/>
    </xf>
    <xf numFmtId="164" fontId="2" fillId="45" borderId="34" xfId="0" applyNumberFormat="1" applyFont="1" applyFill="1" applyBorder="1" applyAlignment="1" applyProtection="1">
      <alignment horizontal="center" vertical="center" wrapText="1"/>
      <protection hidden="1"/>
    </xf>
    <xf numFmtId="0" fontId="1" fillId="45" borderId="34" xfId="0" applyFont="1" applyFill="1" applyBorder="1" applyAlignment="1" applyProtection="1">
      <alignment horizontal="left" vertical="center" wrapText="1"/>
      <protection hidden="1"/>
    </xf>
    <xf numFmtId="164" fontId="9" fillId="45" borderId="34" xfId="0" applyNumberFormat="1" applyFont="1" applyFill="1" applyBorder="1" applyAlignment="1" applyProtection="1">
      <alignment horizontal="center" vertical="center" wrapText="1"/>
      <protection hidden="1"/>
    </xf>
    <xf numFmtId="0" fontId="11" fillId="45" borderId="34" xfId="0" applyFont="1" applyFill="1" applyBorder="1" applyAlignment="1" applyProtection="1">
      <alignment horizontal="left" vertical="center" wrapText="1"/>
      <protection hidden="1"/>
    </xf>
    <xf numFmtId="0" fontId="11" fillId="45" borderId="34" xfId="0" applyFont="1" applyFill="1" applyBorder="1" applyAlignment="1" applyProtection="1">
      <alignment horizontal="center" vertical="center" wrapText="1"/>
      <protection hidden="1"/>
    </xf>
    <xf numFmtId="0" fontId="11" fillId="43" borderId="34" xfId="0" applyFont="1" applyFill="1" applyBorder="1" applyAlignment="1" applyProtection="1">
      <alignment horizontal="center" vertical="center" wrapText="1"/>
      <protection hidden="1"/>
    </xf>
    <xf numFmtId="0" fontId="69" fillId="43" borderId="0" xfId="0" applyFont="1" applyFill="1" applyAlignment="1">
      <alignment horizontal="left" vertical="top" wrapText="1"/>
    </xf>
    <xf numFmtId="14" fontId="11" fillId="43" borderId="34" xfId="0" applyNumberFormat="1" applyFont="1" applyFill="1" applyBorder="1" applyAlignment="1">
      <alignment horizontal="center" vertical="center" wrapText="1"/>
    </xf>
    <xf numFmtId="0" fontId="69" fillId="43" borderId="34" xfId="0" applyFont="1" applyFill="1" applyBorder="1" applyAlignment="1">
      <alignment horizontal="left" vertical="top" wrapText="1"/>
    </xf>
    <xf numFmtId="0" fontId="11" fillId="43" borderId="34" xfId="0" applyFont="1" applyFill="1" applyBorder="1" applyAlignment="1">
      <alignment horizontal="center" vertical="center" wrapText="1"/>
    </xf>
    <xf numFmtId="0" fontId="69" fillId="43" borderId="34" xfId="0" applyFont="1" applyFill="1" applyBorder="1" applyAlignment="1">
      <alignment wrapText="1"/>
    </xf>
    <xf numFmtId="0" fontId="69" fillId="43" borderId="34" xfId="0" applyFont="1" applyFill="1" applyBorder="1" applyAlignment="1">
      <alignment vertical="center" wrapText="1"/>
    </xf>
    <xf numFmtId="14" fontId="11" fillId="43" borderId="31" xfId="0" applyNumberFormat="1" applyFont="1" applyFill="1" applyBorder="1" applyAlignment="1">
      <alignment horizontal="center" vertical="center" wrapText="1"/>
    </xf>
    <xf numFmtId="0" fontId="11" fillId="43" borderId="31" xfId="0" applyFont="1" applyFill="1" applyBorder="1" applyAlignment="1">
      <alignment horizontal="center" vertical="center" wrapText="1"/>
    </xf>
    <xf numFmtId="0" fontId="50" fillId="43" borderId="31" xfId="4" applyFont="1" applyFill="1" applyBorder="1" applyAlignment="1">
      <alignment horizontal="left" vertical="center" wrapText="1"/>
    </xf>
    <xf numFmtId="0" fontId="11" fillId="43" borderId="31" xfId="4" applyFont="1" applyFill="1" applyBorder="1" applyAlignment="1">
      <alignment horizontal="left" vertical="center" wrapText="1"/>
    </xf>
    <xf numFmtId="14" fontId="11" fillId="39" borderId="31" xfId="0" applyNumberFormat="1" applyFont="1" applyFill="1" applyBorder="1" applyAlignment="1">
      <alignment horizontal="center" vertical="center" wrapText="1"/>
    </xf>
    <xf numFmtId="0" fontId="50" fillId="39" borderId="31" xfId="4" applyFont="1" applyFill="1" applyBorder="1" applyAlignment="1">
      <alignment horizontal="left" vertical="center" wrapText="1"/>
    </xf>
    <xf numFmtId="0" fontId="11" fillId="39" borderId="31" xfId="0" applyFont="1" applyFill="1" applyBorder="1" applyAlignment="1">
      <alignment horizontal="center" vertical="center" wrapText="1"/>
    </xf>
    <xf numFmtId="0" fontId="11" fillId="3" borderId="0" xfId="0" applyFont="1" applyFill="1" applyAlignment="1">
      <alignment vertical="center"/>
    </xf>
    <xf numFmtId="0" fontId="11" fillId="3" borderId="0" xfId="0" applyFont="1" applyFill="1" applyAlignment="1">
      <alignment horizontal="center" vertical="center" wrapText="1"/>
    </xf>
    <xf numFmtId="0" fontId="69" fillId="43" borderId="31" xfId="4" applyFont="1" applyFill="1" applyBorder="1" applyAlignment="1">
      <alignment horizontal="left" vertical="center" wrapText="1"/>
    </xf>
    <xf numFmtId="0" fontId="92" fillId="0" borderId="0" xfId="0" applyFont="1" applyAlignment="1" applyProtection="1">
      <alignment vertical="center" wrapText="1"/>
      <protection locked="0"/>
    </xf>
    <xf numFmtId="0" fontId="2" fillId="45" borderId="34" xfId="0" applyFont="1" applyFill="1" applyBorder="1" applyAlignment="1" applyProtection="1">
      <alignment horizontal="center" vertical="center" wrapText="1"/>
      <protection hidden="1"/>
    </xf>
    <xf numFmtId="0" fontId="50" fillId="43" borderId="31" xfId="4" applyFont="1" applyFill="1" applyBorder="1" applyAlignment="1">
      <alignment horizontal="left" vertical="top" wrapText="1"/>
    </xf>
    <xf numFmtId="0" fontId="69" fillId="39" borderId="31" xfId="4" applyFont="1" applyFill="1" applyBorder="1" applyAlignment="1">
      <alignment horizontal="left" vertical="center" wrapText="1"/>
    </xf>
    <xf numFmtId="0" fontId="69" fillId="43" borderId="31" xfId="4" applyFont="1" applyFill="1" applyBorder="1" applyAlignment="1">
      <alignment horizontal="left" vertical="top" wrapText="1"/>
    </xf>
    <xf numFmtId="164" fontId="96" fillId="48" borderId="34" xfId="0" applyNumberFormat="1" applyFont="1" applyFill="1" applyBorder="1" applyAlignment="1">
      <alignment horizontal="center" vertical="center" wrapText="1"/>
    </xf>
    <xf numFmtId="164" fontId="2" fillId="45" borderId="34" xfId="0" applyNumberFormat="1" applyFont="1" applyFill="1" applyBorder="1" applyAlignment="1">
      <alignment horizontal="center" vertical="center" wrapText="1"/>
    </xf>
    <xf numFmtId="164" fontId="97" fillId="48" borderId="34" xfId="0" applyNumberFormat="1" applyFont="1" applyFill="1" applyBorder="1" applyAlignment="1">
      <alignment horizontal="center" vertical="center" wrapText="1"/>
    </xf>
    <xf numFmtId="164" fontId="9" fillId="45" borderId="34" xfId="0" applyNumberFormat="1" applyFont="1" applyFill="1" applyBorder="1" applyAlignment="1">
      <alignment horizontal="center" vertical="center" wrapText="1"/>
    </xf>
    <xf numFmtId="0" fontId="11" fillId="45" borderId="34" xfId="0" applyFont="1" applyFill="1" applyBorder="1" applyAlignment="1" applyProtection="1">
      <alignment horizontal="justify" vertical="top" wrapText="1"/>
      <protection hidden="1"/>
    </xf>
    <xf numFmtId="0" fontId="11" fillId="45" borderId="34" xfId="2" applyFont="1" applyFill="1" applyBorder="1" applyAlignment="1" applyProtection="1">
      <alignment horizontal="justify" vertical="top" wrapText="1"/>
      <protection hidden="1"/>
    </xf>
    <xf numFmtId="0" fontId="9" fillId="45" borderId="34" xfId="0" applyFont="1" applyFill="1" applyBorder="1" applyAlignment="1" applyProtection="1">
      <alignment horizontal="center" vertical="center" wrapText="1"/>
      <protection hidden="1"/>
    </xf>
    <xf numFmtId="164" fontId="21" fillId="45" borderId="34" xfId="0" applyNumberFormat="1" applyFont="1" applyFill="1" applyBorder="1" applyAlignment="1">
      <alignment horizontal="center" vertical="center"/>
    </xf>
    <xf numFmtId="0" fontId="15" fillId="45" borderId="34" xfId="0" applyFont="1" applyFill="1" applyBorder="1" applyAlignment="1" applyProtection="1">
      <alignment horizontal="left" vertical="center" wrapText="1"/>
      <protection hidden="1"/>
    </xf>
    <xf numFmtId="0" fontId="15" fillId="45" borderId="34" xfId="0" applyFont="1" applyFill="1" applyBorder="1" applyAlignment="1" applyProtection="1">
      <alignment horizontal="center" vertical="center"/>
      <protection hidden="1"/>
    </xf>
    <xf numFmtId="0" fontId="15" fillId="45" borderId="34" xfId="0" applyFont="1" applyFill="1" applyBorder="1" applyAlignment="1" applyProtection="1">
      <alignment vertical="center" wrapText="1"/>
      <protection hidden="1"/>
    </xf>
    <xf numFmtId="0" fontId="69" fillId="45" borderId="34" xfId="0" applyFont="1" applyFill="1" applyBorder="1" applyAlignment="1" applyProtection="1">
      <alignment horizontal="left" vertical="center" wrapText="1"/>
      <protection hidden="1"/>
    </xf>
    <xf numFmtId="0" fontId="15" fillId="45" borderId="34" xfId="0" applyFont="1" applyFill="1" applyBorder="1" applyAlignment="1" applyProtection="1">
      <alignment horizontal="justify" vertical="top" wrapText="1"/>
      <protection hidden="1"/>
    </xf>
    <xf numFmtId="0" fontId="11" fillId="45" borderId="34" xfId="0" applyFont="1" applyFill="1" applyBorder="1" applyAlignment="1" applyProtection="1">
      <alignment horizontal="justify" vertical="top" wrapText="1"/>
      <protection locked="0"/>
    </xf>
    <xf numFmtId="0" fontId="11" fillId="45" borderId="34" xfId="0" applyFont="1" applyFill="1" applyBorder="1" applyAlignment="1" applyProtection="1">
      <alignment horizontal="center" vertical="center" wrapText="1"/>
      <protection locked="0"/>
    </xf>
    <xf numFmtId="0" fontId="26" fillId="49" borderId="0" xfId="0" applyFont="1" applyFill="1" applyAlignment="1" applyProtection="1">
      <alignment horizontal="center" vertical="center" wrapText="1"/>
      <protection locked="0"/>
    </xf>
    <xf numFmtId="0" fontId="10" fillId="2" borderId="0" xfId="0" applyFont="1" applyFill="1" applyAlignment="1" applyProtection="1">
      <alignment vertical="center" wrapText="1"/>
      <protection hidden="1"/>
    </xf>
    <xf numFmtId="0" fontId="10" fillId="2" borderId="0" xfId="0" applyFont="1" applyFill="1" applyAlignment="1" applyProtection="1">
      <alignment horizontal="center" vertical="center" wrapText="1"/>
      <protection hidden="1"/>
    </xf>
    <xf numFmtId="0" fontId="3" fillId="2" borderId="0" xfId="0" applyFont="1" applyFill="1" applyAlignment="1" applyProtection="1">
      <alignment horizontal="center" vertical="center" wrapText="1"/>
      <protection hidden="1"/>
    </xf>
    <xf numFmtId="0" fontId="33" fillId="2" borderId="0" xfId="0" applyFont="1" applyFill="1" applyAlignment="1" applyProtection="1">
      <alignment horizontal="center" vertical="center" wrapText="1"/>
      <protection hidden="1"/>
    </xf>
    <xf numFmtId="0" fontId="3" fillId="2" borderId="0" xfId="0" applyFont="1" applyFill="1" applyAlignment="1" applyProtection="1">
      <alignment horizontal="left" vertical="center" wrapText="1"/>
      <protection hidden="1"/>
    </xf>
    <xf numFmtId="0" fontId="9" fillId="2" borderId="0" xfId="0" applyFont="1" applyFill="1" applyAlignment="1" applyProtection="1">
      <alignment horizontal="center" vertical="center" wrapText="1"/>
      <protection hidden="1"/>
    </xf>
    <xf numFmtId="0" fontId="9" fillId="2" borderId="0" xfId="0" applyFont="1" applyFill="1" applyAlignment="1" applyProtection="1">
      <alignment horizontal="left" vertical="center" wrapText="1"/>
      <protection hidden="1"/>
    </xf>
    <xf numFmtId="0" fontId="10" fillId="2" borderId="0" xfId="0" applyFont="1" applyFill="1" applyAlignment="1" applyProtection="1">
      <alignment horizontal="left" vertical="center" wrapText="1"/>
      <protection hidden="1"/>
    </xf>
    <xf numFmtId="0" fontId="26" fillId="2" borderId="0" xfId="0" applyFont="1" applyFill="1" applyAlignment="1" applyProtection="1">
      <alignment vertical="center"/>
      <protection hidden="1"/>
    </xf>
    <xf numFmtId="0" fontId="11" fillId="45" borderId="0" xfId="0" applyFont="1" applyFill="1" applyProtection="1">
      <protection hidden="1"/>
    </xf>
    <xf numFmtId="0" fontId="26" fillId="2" borderId="0" xfId="0" applyFont="1" applyFill="1" applyAlignment="1" applyProtection="1">
      <alignment horizontal="center" vertical="center" wrapText="1"/>
      <protection hidden="1"/>
    </xf>
    <xf numFmtId="0" fontId="26" fillId="2" borderId="0" xfId="0" applyFont="1" applyFill="1" applyAlignment="1" applyProtection="1">
      <alignment horizontal="center" vertical="center"/>
      <protection hidden="1"/>
    </xf>
    <xf numFmtId="0" fontId="11" fillId="45" borderId="34" xfId="0" applyFont="1" applyFill="1" applyBorder="1" applyAlignment="1" applyProtection="1">
      <alignment horizontal="center" vertical="center"/>
      <protection hidden="1"/>
    </xf>
    <xf numFmtId="0" fontId="11" fillId="45" borderId="34" xfId="0" applyFont="1" applyFill="1" applyBorder="1" applyAlignment="1" applyProtection="1">
      <alignment vertical="center"/>
      <protection hidden="1"/>
    </xf>
    <xf numFmtId="0" fontId="11" fillId="45" borderId="34" xfId="0" applyFont="1" applyFill="1" applyBorder="1" applyAlignment="1" applyProtection="1">
      <alignment vertical="center" wrapText="1"/>
      <protection hidden="1"/>
    </xf>
    <xf numFmtId="164" fontId="9" fillId="45" borderId="34" xfId="0" applyNumberFormat="1" applyFont="1" applyFill="1" applyBorder="1" applyAlignment="1" applyProtection="1">
      <alignment horizontal="center" vertical="center"/>
      <protection hidden="1"/>
    </xf>
    <xf numFmtId="0" fontId="11" fillId="0" borderId="0" xfId="0" applyFont="1" applyAlignment="1">
      <alignment vertical="center" wrapText="1"/>
    </xf>
    <xf numFmtId="0" fontId="11" fillId="0" borderId="0" xfId="0" applyFont="1"/>
    <xf numFmtId="0" fontId="33" fillId="2" borderId="0" xfId="0" applyFont="1" applyFill="1" applyAlignment="1">
      <alignment horizontal="center" vertical="center" wrapText="1"/>
    </xf>
    <xf numFmtId="0" fontId="101" fillId="46" borderId="2" xfId="0" applyFont="1" applyFill="1" applyBorder="1" applyAlignment="1">
      <alignment horizontal="center" vertical="center" wrapText="1"/>
    </xf>
    <xf numFmtId="0" fontId="11" fillId="47" borderId="2" xfId="0" applyFont="1" applyFill="1" applyBorder="1" applyAlignment="1">
      <alignment horizontal="center" vertical="center"/>
    </xf>
    <xf numFmtId="0" fontId="11" fillId="47" borderId="2" xfId="0" applyFont="1" applyFill="1" applyBorder="1"/>
    <xf numFmtId="0" fontId="50" fillId="0" borderId="2" xfId="4" applyFont="1" applyFill="1" applyBorder="1"/>
    <xf numFmtId="0" fontId="11" fillId="47" borderId="2" xfId="0" applyFont="1" applyFill="1" applyBorder="1" applyAlignment="1">
      <alignment horizontal="left" vertical="center"/>
    </xf>
    <xf numFmtId="0" fontId="99" fillId="0" borderId="0" xfId="0" applyFont="1"/>
    <xf numFmtId="0" fontId="11" fillId="0" borderId="33" xfId="0" applyFont="1" applyBorder="1" applyAlignment="1" applyProtection="1">
      <alignment vertical="center"/>
      <protection locked="0"/>
    </xf>
    <xf numFmtId="0" fontId="33" fillId="49" borderId="0" xfId="0" applyFont="1" applyFill="1" applyAlignment="1" applyProtection="1">
      <alignment horizontal="center" vertical="center" wrapText="1"/>
      <protection hidden="1"/>
    </xf>
    <xf numFmtId="0" fontId="11" fillId="0" borderId="2" xfId="0" applyFont="1" applyBorder="1" applyAlignment="1" applyProtection="1">
      <alignment horizontal="left" vertical="center" wrapText="1"/>
      <protection hidden="1"/>
    </xf>
    <xf numFmtId="0" fontId="24" fillId="0" borderId="2" xfId="0" applyFont="1" applyBorder="1" applyAlignment="1" applyProtection="1">
      <alignment horizontal="left" vertical="justify" wrapText="1"/>
      <protection hidden="1"/>
    </xf>
    <xf numFmtId="0" fontId="11" fillId="0" borderId="2" xfId="0" applyFont="1" applyBorder="1" applyAlignment="1" applyProtection="1">
      <alignment horizontal="center" vertical="center" wrapText="1"/>
      <protection locked="0"/>
    </xf>
    <xf numFmtId="164" fontId="97" fillId="0" borderId="0" xfId="0" applyNumberFormat="1" applyFont="1" applyAlignment="1" applyProtection="1">
      <alignment horizontal="center" vertical="center" wrapText="1"/>
      <protection hidden="1"/>
    </xf>
    <xf numFmtId="0" fontId="86" fillId="0" borderId="0" xfId="0" applyFont="1" applyAlignment="1" applyProtection="1">
      <alignment horizontal="center" vertical="center" wrapText="1"/>
      <protection hidden="1"/>
    </xf>
    <xf numFmtId="164" fontId="21" fillId="43" borderId="34" xfId="0" applyNumberFormat="1" applyFont="1" applyFill="1" applyBorder="1" applyAlignment="1">
      <alignment horizontal="center" vertical="center"/>
    </xf>
    <xf numFmtId="0" fontId="1" fillId="45" borderId="34" xfId="0" applyFont="1" applyFill="1" applyBorder="1" applyAlignment="1" applyProtection="1">
      <alignment horizontal="center" vertical="center" wrapText="1"/>
      <protection hidden="1"/>
    </xf>
    <xf numFmtId="0" fontId="102" fillId="45" borderId="35" xfId="0" applyFont="1" applyFill="1" applyBorder="1" applyAlignment="1" applyProtection="1">
      <alignment horizontal="left" vertical="center" wrapText="1"/>
      <protection hidden="1"/>
    </xf>
    <xf numFmtId="0" fontId="2" fillId="45" borderId="35" xfId="0" applyFont="1" applyFill="1" applyBorder="1" applyAlignment="1" applyProtection="1">
      <alignment horizontal="center" vertical="center" wrapText="1"/>
      <protection hidden="1"/>
    </xf>
    <xf numFmtId="0" fontId="15" fillId="45" borderId="34" xfId="3" applyFont="1" applyFill="1" applyBorder="1" applyAlignment="1" applyProtection="1">
      <alignment horizontal="left" vertical="center" wrapText="1"/>
      <protection hidden="1"/>
    </xf>
    <xf numFmtId="0" fontId="15" fillId="45" borderId="34" xfId="3" applyFont="1" applyFill="1" applyBorder="1" applyAlignment="1" applyProtection="1">
      <alignment horizontal="center" vertical="center" wrapText="1"/>
      <protection hidden="1"/>
    </xf>
    <xf numFmtId="0" fontId="103" fillId="45" borderId="0" xfId="0" applyFont="1" applyFill="1"/>
    <xf numFmtId="0" fontId="29" fillId="0" borderId="2" xfId="4" applyFill="1" applyBorder="1"/>
    <xf numFmtId="0" fontId="15" fillId="45" borderId="34" xfId="0" applyFont="1" applyFill="1" applyBorder="1" applyAlignment="1" applyProtection="1">
      <alignment horizontal="justify" vertical="center"/>
      <protection hidden="1"/>
    </xf>
    <xf numFmtId="164" fontId="2" fillId="0" borderId="35" xfId="0" applyNumberFormat="1" applyFont="1" applyBorder="1" applyAlignment="1" applyProtection="1">
      <alignment horizontal="center" vertical="center" wrapText="1"/>
      <protection hidden="1"/>
    </xf>
    <xf numFmtId="0" fontId="1" fillId="0" borderId="35" xfId="0" applyFont="1" applyBorder="1" applyAlignment="1" applyProtection="1">
      <alignment horizontal="justify" vertical="center" wrapText="1"/>
      <protection hidden="1"/>
    </xf>
    <xf numFmtId="0" fontId="2" fillId="0" borderId="35" xfId="0" applyFont="1" applyBorder="1" applyAlignment="1" applyProtection="1">
      <alignment horizontal="center" vertical="center" wrapText="1"/>
      <protection hidden="1"/>
    </xf>
    <xf numFmtId="164" fontId="9" fillId="0" borderId="35" xfId="0" applyNumberFormat="1" applyFont="1" applyBorder="1" applyAlignment="1" applyProtection="1">
      <alignment horizontal="center" vertical="center"/>
      <protection hidden="1"/>
    </xf>
    <xf numFmtId="0" fontId="11" fillId="0" borderId="35" xfId="0" applyFont="1" applyBorder="1" applyAlignment="1" applyProtection="1">
      <alignment horizontal="center" vertical="center"/>
      <protection hidden="1"/>
    </xf>
    <xf numFmtId="0" fontId="11" fillId="0" borderId="35" xfId="0" applyFont="1" applyBorder="1" applyAlignment="1" applyProtection="1">
      <alignment vertical="center"/>
      <protection hidden="1"/>
    </xf>
    <xf numFmtId="164" fontId="9" fillId="45" borderId="35" xfId="0" applyNumberFormat="1" applyFont="1" applyFill="1" applyBorder="1" applyAlignment="1" applyProtection="1">
      <alignment horizontal="center" vertical="center" wrapText="1"/>
      <protection hidden="1"/>
    </xf>
    <xf numFmtId="0" fontId="11" fillId="0" borderId="35" xfId="0" applyFont="1" applyBorder="1" applyAlignment="1" applyProtection="1">
      <alignment horizontal="justify" vertical="top" wrapText="1"/>
      <protection hidden="1"/>
    </xf>
    <xf numFmtId="0" fontId="11" fillId="0" borderId="35" xfId="0" applyFont="1" applyBorder="1" applyAlignment="1" applyProtection="1">
      <alignment horizontal="center" vertical="center" wrapText="1"/>
      <protection hidden="1"/>
    </xf>
    <xf numFmtId="0" fontId="15" fillId="0" borderId="35" xfId="0" applyFont="1" applyBorder="1" applyAlignment="1" applyProtection="1">
      <alignment horizontal="center" vertical="center"/>
      <protection hidden="1"/>
    </xf>
    <xf numFmtId="0" fontId="15" fillId="0" borderId="35" xfId="0" applyFont="1" applyBorder="1" applyAlignment="1" applyProtection="1">
      <alignment vertical="center" wrapText="1"/>
      <protection hidden="1"/>
    </xf>
    <xf numFmtId="0" fontId="16" fillId="0" borderId="0" xfId="0" applyFont="1" applyAlignment="1" applyProtection="1">
      <alignment horizontal="left" indent="2"/>
      <protection hidden="1"/>
    </xf>
    <xf numFmtId="0" fontId="0" fillId="0" borderId="0" xfId="0" applyAlignment="1">
      <alignment horizontal="center" vertical="center"/>
    </xf>
    <xf numFmtId="0" fontId="11" fillId="0" borderId="35" xfId="0" applyFont="1" applyBorder="1" applyAlignment="1" applyProtection="1">
      <alignment horizontal="left" vertical="center" wrapText="1"/>
      <protection hidden="1"/>
    </xf>
    <xf numFmtId="0" fontId="34" fillId="0" borderId="0" xfId="0" applyFont="1" applyAlignment="1" applyProtection="1">
      <alignment horizontal="center" vertical="center" wrapText="1"/>
      <protection hidden="1"/>
    </xf>
    <xf numFmtId="0" fontId="34" fillId="0" borderId="0" xfId="0" applyFont="1" applyAlignment="1" applyProtection="1">
      <alignment horizontal="left" vertical="center" wrapText="1"/>
      <protection hidden="1"/>
    </xf>
    <xf numFmtId="0" fontId="34" fillId="0" borderId="0" xfId="0" applyFont="1" applyAlignment="1" applyProtection="1">
      <alignment horizontal="justify" vertical="center" wrapText="1"/>
      <protection hidden="1"/>
    </xf>
    <xf numFmtId="0" fontId="108" fillId="0" borderId="0" xfId="0" applyFont="1" applyAlignment="1" applyProtection="1">
      <alignment horizontal="center" vertical="center" wrapText="1"/>
      <protection hidden="1"/>
    </xf>
    <xf numFmtId="0" fontId="108" fillId="0" borderId="0" xfId="0" applyFont="1" applyAlignment="1" applyProtection="1">
      <alignment horizontal="left" vertical="center" wrapText="1"/>
      <protection hidden="1"/>
    </xf>
    <xf numFmtId="164" fontId="75" fillId="45" borderId="35" xfId="0" applyNumberFormat="1" applyFont="1" applyFill="1" applyBorder="1" applyAlignment="1">
      <alignment horizontal="center" vertical="center" wrapText="1"/>
    </xf>
    <xf numFmtId="0" fontId="16" fillId="45" borderId="34" xfId="0" applyFont="1" applyFill="1" applyBorder="1" applyAlignment="1">
      <alignment horizontal="left" vertical="center" wrapText="1"/>
    </xf>
    <xf numFmtId="0" fontId="15" fillId="0" borderId="0" xfId="0" applyFont="1" applyAlignment="1" applyProtection="1">
      <alignment horizontal="left" vertical="top" wrapText="1"/>
      <protection hidden="1"/>
    </xf>
    <xf numFmtId="0" fontId="69" fillId="45" borderId="34" xfId="0" applyFont="1" applyFill="1" applyBorder="1" applyAlignment="1" applyProtection="1">
      <alignment horizontal="justify" vertical="center" wrapText="1"/>
      <protection hidden="1"/>
    </xf>
    <xf numFmtId="0" fontId="11" fillId="45" borderId="34" xfId="0" applyFont="1" applyFill="1" applyBorder="1" applyAlignment="1" applyProtection="1">
      <alignment horizontal="left" vertical="top" wrapText="1"/>
      <protection hidden="1"/>
    </xf>
    <xf numFmtId="0" fontId="102" fillId="0" borderId="35" xfId="0" applyFont="1" applyBorder="1" applyAlignment="1" applyProtection="1">
      <alignment horizontal="left" vertical="center" wrapText="1"/>
      <protection hidden="1"/>
    </xf>
    <xf numFmtId="164" fontId="21" fillId="45" borderId="35" xfId="0" applyNumberFormat="1" applyFont="1" applyFill="1" applyBorder="1" applyAlignment="1" applyProtection="1">
      <alignment horizontal="center" vertical="center"/>
      <protection hidden="1"/>
    </xf>
    <xf numFmtId="164" fontId="9" fillId="0" borderId="34" xfId="0" applyNumberFormat="1" applyFont="1" applyBorder="1" applyAlignment="1">
      <alignment horizontal="center" vertical="center" wrapText="1"/>
    </xf>
    <xf numFmtId="0" fontId="11" fillId="0" borderId="34" xfId="0" applyFont="1" applyBorder="1" applyAlignment="1" applyProtection="1">
      <alignment horizontal="left" vertical="top" wrapText="1"/>
      <protection hidden="1"/>
    </xf>
    <xf numFmtId="164" fontId="9" fillId="0" borderId="34" xfId="0" applyNumberFormat="1" applyFont="1" applyBorder="1" applyAlignment="1" applyProtection="1">
      <alignment horizontal="center" vertical="center"/>
      <protection hidden="1"/>
    </xf>
    <xf numFmtId="0" fontId="11" fillId="0" borderId="34" xfId="0" applyFont="1" applyBorder="1" applyAlignment="1" applyProtection="1">
      <alignment horizontal="center" vertical="center"/>
      <protection hidden="1"/>
    </xf>
    <xf numFmtId="0" fontId="11" fillId="0" borderId="34" xfId="0" applyFont="1" applyBorder="1" applyAlignment="1" applyProtection="1">
      <alignment vertical="center"/>
      <protection hidden="1"/>
    </xf>
    <xf numFmtId="0" fontId="11" fillId="0" borderId="34" xfId="0" applyFont="1" applyBorder="1" applyAlignment="1" applyProtection="1">
      <alignment vertical="center" wrapText="1"/>
      <protection hidden="1"/>
    </xf>
    <xf numFmtId="0" fontId="15" fillId="0" borderId="2" xfId="0" applyFont="1" applyBorder="1" applyAlignment="1" applyProtection="1">
      <alignment horizontal="center" vertical="center" wrapText="1"/>
      <protection hidden="1"/>
    </xf>
    <xf numFmtId="0" fontId="15" fillId="0" borderId="2" xfId="0" applyFont="1" applyBorder="1" applyAlignment="1" applyProtection="1">
      <alignment horizontal="left" vertical="center" wrapText="1"/>
      <protection hidden="1"/>
    </xf>
    <xf numFmtId="164" fontId="21" fillId="0" borderId="34" xfId="0" applyNumberFormat="1" applyFont="1" applyBorder="1" applyAlignment="1" applyProtection="1">
      <alignment horizontal="center" vertical="center" wrapText="1"/>
      <protection hidden="1"/>
    </xf>
    <xf numFmtId="0" fontId="15" fillId="0" borderId="34" xfId="3" applyFont="1" applyFill="1" applyBorder="1" applyAlignment="1" applyProtection="1">
      <alignment horizontal="center" vertical="center" wrapText="1"/>
      <protection hidden="1"/>
    </xf>
    <xf numFmtId="164" fontId="21" fillId="0" borderId="34" xfId="0" applyNumberFormat="1" applyFont="1" applyBorder="1" applyAlignment="1">
      <alignment horizontal="center" vertical="center"/>
    </xf>
    <xf numFmtId="0" fontId="15" fillId="0" borderId="34" xfId="0" applyFont="1" applyBorder="1" applyAlignment="1" applyProtection="1">
      <alignment horizontal="center" vertical="center"/>
      <protection hidden="1"/>
    </xf>
    <xf numFmtId="0" fontId="15" fillId="0" borderId="34" xfId="0" applyFont="1" applyBorder="1" applyAlignment="1" applyProtection="1">
      <alignment vertical="center" wrapText="1"/>
      <protection hidden="1"/>
    </xf>
    <xf numFmtId="0" fontId="11" fillId="45" borderId="34" xfId="0" applyFont="1" applyFill="1" applyBorder="1" applyAlignment="1" applyProtection="1">
      <alignment horizontal="justify" vertical="center" wrapText="1"/>
      <protection hidden="1"/>
    </xf>
    <xf numFmtId="0" fontId="3" fillId="2" borderId="7" xfId="0" applyFont="1" applyFill="1" applyBorder="1" applyAlignment="1">
      <alignment horizontal="center" vertical="center" wrapText="1"/>
    </xf>
    <xf numFmtId="164" fontId="2" fillId="0" borderId="37" xfId="0" applyNumberFormat="1" applyFont="1" applyBorder="1" applyAlignment="1">
      <alignment horizontal="center" vertical="center" wrapText="1"/>
    </xf>
    <xf numFmtId="0" fontId="11" fillId="0" borderId="2" xfId="0" applyFont="1" applyBorder="1" applyAlignment="1" applyProtection="1">
      <alignment vertical="center"/>
      <protection hidden="1"/>
    </xf>
    <xf numFmtId="164" fontId="2" fillId="45" borderId="37" xfId="0" applyNumberFormat="1" applyFont="1" applyFill="1" applyBorder="1" applyAlignment="1">
      <alignment horizontal="center" vertical="center" wrapText="1"/>
    </xf>
    <xf numFmtId="164" fontId="2" fillId="50" borderId="35" xfId="0" applyNumberFormat="1" applyFont="1" applyFill="1" applyBorder="1" applyAlignment="1">
      <alignment horizontal="center" vertical="center" wrapText="1"/>
    </xf>
    <xf numFmtId="164" fontId="2" fillId="50" borderId="38" xfId="0" applyNumberFormat="1" applyFont="1" applyFill="1" applyBorder="1" applyAlignment="1">
      <alignment horizontal="center" vertical="center" wrapText="1"/>
    </xf>
    <xf numFmtId="164" fontId="2" fillId="0" borderId="35" xfId="0" applyNumberFormat="1" applyFont="1" applyBorder="1" applyAlignment="1">
      <alignment horizontal="center" vertical="center" wrapText="1"/>
    </xf>
    <xf numFmtId="164" fontId="2" fillId="0" borderId="2" xfId="0" applyNumberFormat="1" applyFont="1" applyBorder="1" applyAlignment="1">
      <alignment horizontal="center" vertical="center" wrapText="1"/>
    </xf>
    <xf numFmtId="164" fontId="2" fillId="0" borderId="34" xfId="0" applyNumberFormat="1" applyFont="1" applyBorder="1" applyAlignment="1" applyProtection="1">
      <alignment horizontal="center" vertical="center" wrapText="1"/>
      <protection hidden="1"/>
    </xf>
    <xf numFmtId="0" fontId="11" fillId="50" borderId="35" xfId="0" applyFont="1" applyFill="1" applyBorder="1" applyAlignment="1" applyProtection="1">
      <alignment horizontal="justify" vertical="center" wrapText="1"/>
      <protection hidden="1"/>
    </xf>
    <xf numFmtId="0" fontId="33" fillId="2" borderId="7" xfId="0" applyFont="1" applyFill="1" applyBorder="1" applyAlignment="1">
      <alignment horizontal="center" vertical="center" wrapText="1"/>
    </xf>
    <xf numFmtId="164" fontId="9" fillId="45" borderId="34" xfId="0" applyNumberFormat="1" applyFont="1" applyFill="1" applyBorder="1" applyAlignment="1">
      <alignment horizontal="center" vertical="center"/>
    </xf>
    <xf numFmtId="164" fontId="9" fillId="50" borderId="34" xfId="0" applyNumberFormat="1" applyFont="1" applyFill="1" applyBorder="1" applyAlignment="1">
      <alignment horizontal="center" vertical="center"/>
    </xf>
    <xf numFmtId="0" fontId="6" fillId="50" borderId="35" xfId="0" applyFont="1" applyFill="1" applyBorder="1" applyAlignment="1" applyProtection="1">
      <alignment horizontal="justify" vertical="center" wrapText="1"/>
      <protection hidden="1"/>
    </xf>
    <xf numFmtId="0" fontId="100" fillId="0" borderId="34" xfId="0" applyFont="1" applyBorder="1" applyAlignment="1" applyProtection="1">
      <alignment vertical="center"/>
      <protection hidden="1"/>
    </xf>
    <xf numFmtId="0" fontId="107" fillId="0" borderId="34" xfId="0" applyFont="1" applyBorder="1" applyAlignment="1" applyProtection="1">
      <alignment horizontal="center" vertical="center" wrapText="1"/>
      <protection hidden="1"/>
    </xf>
    <xf numFmtId="0" fontId="33" fillId="2" borderId="2" xfId="0" applyFont="1" applyFill="1" applyBorder="1" applyAlignment="1">
      <alignment horizontal="center" vertical="center" wrapText="1"/>
    </xf>
    <xf numFmtId="164" fontId="97" fillId="50" borderId="36" xfId="0" applyNumberFormat="1" applyFont="1" applyFill="1" applyBorder="1" applyAlignment="1">
      <alignment horizontal="center" vertical="center" wrapText="1"/>
    </xf>
    <xf numFmtId="164" fontId="97" fillId="50" borderId="35" xfId="0" applyNumberFormat="1" applyFont="1" applyFill="1" applyBorder="1" applyAlignment="1">
      <alignment horizontal="center" vertical="center" wrapText="1"/>
    </xf>
    <xf numFmtId="164" fontId="97" fillId="0" borderId="35" xfId="0" applyNumberFormat="1" applyFont="1" applyBorder="1" applyAlignment="1">
      <alignment horizontal="center" vertical="center" wrapText="1"/>
    </xf>
    <xf numFmtId="164" fontId="111" fillId="0" borderId="2" xfId="0" applyNumberFormat="1" applyFont="1" applyBorder="1" applyAlignment="1">
      <alignment horizontal="center" vertical="center" wrapText="1"/>
    </xf>
    <xf numFmtId="0" fontId="102" fillId="50" borderId="35" xfId="0" applyFont="1" applyFill="1" applyBorder="1" applyAlignment="1" applyProtection="1">
      <alignment horizontal="left" vertical="center" wrapText="1"/>
      <protection hidden="1"/>
    </xf>
    <xf numFmtId="0" fontId="11" fillId="43" borderId="35" xfId="0" applyFont="1" applyFill="1" applyBorder="1" applyAlignment="1" applyProtection="1">
      <alignment horizontal="center" vertical="center" wrapText="1"/>
      <protection hidden="1"/>
    </xf>
    <xf numFmtId="0" fontId="11" fillId="0" borderId="0" xfId="2" applyFont="1" applyFill="1" applyBorder="1" applyAlignment="1" applyProtection="1">
      <alignment horizontal="justify" vertical="center" wrapText="1"/>
      <protection locked="0"/>
    </xf>
    <xf numFmtId="164" fontId="97" fillId="50" borderId="34" xfId="0" applyNumberFormat="1" applyFont="1" applyFill="1" applyBorder="1" applyAlignment="1">
      <alignment horizontal="center" vertical="center" wrapText="1"/>
    </xf>
    <xf numFmtId="164" fontId="111" fillId="0" borderId="34" xfId="0" applyNumberFormat="1" applyFont="1" applyBorder="1" applyAlignment="1">
      <alignment horizontal="center" vertical="center" wrapText="1"/>
    </xf>
    <xf numFmtId="0" fontId="11" fillId="50" borderId="34" xfId="2" applyFont="1" applyFill="1" applyBorder="1" applyAlignment="1" applyProtection="1">
      <alignment horizontal="justify" vertical="top" wrapText="1"/>
      <protection hidden="1"/>
    </xf>
    <xf numFmtId="0" fontId="10" fillId="2" borderId="7" xfId="0" applyFont="1" applyFill="1" applyBorder="1" applyAlignment="1">
      <alignment horizontal="center" vertical="center" wrapText="1"/>
    </xf>
    <xf numFmtId="164" fontId="21" fillId="0" borderId="34" xfId="0" applyNumberFormat="1" applyFont="1" applyBorder="1" applyAlignment="1">
      <alignment horizontal="center" vertical="center" wrapText="1"/>
    </xf>
    <xf numFmtId="164" fontId="98" fillId="50" borderId="34" xfId="0" applyNumberFormat="1" applyFont="1" applyFill="1" applyBorder="1" applyAlignment="1">
      <alignment horizontal="center" vertical="center" wrapText="1"/>
    </xf>
    <xf numFmtId="164" fontId="21" fillId="0" borderId="34" xfId="0" applyNumberFormat="1" applyFont="1" applyBorder="1" applyAlignment="1" applyProtection="1">
      <alignment horizontal="center" vertical="center" wrapText="1"/>
      <protection locked="0"/>
    </xf>
    <xf numFmtId="0" fontId="109" fillId="0" borderId="0" xfId="0" applyFont="1" applyAlignment="1">
      <alignment wrapText="1"/>
    </xf>
    <xf numFmtId="0" fontId="103" fillId="50" borderId="0" xfId="0" applyFont="1" applyFill="1"/>
    <xf numFmtId="0" fontId="15" fillId="0" borderId="34" xfId="0" applyFont="1" applyBorder="1" applyAlignment="1" applyProtection="1">
      <alignment horizontal="left" vertical="center" wrapText="1"/>
      <protection hidden="1"/>
    </xf>
    <xf numFmtId="0" fontId="33" fillId="2" borderId="7" xfId="0" applyFont="1" applyFill="1" applyBorder="1" applyAlignment="1">
      <alignment vertical="center"/>
    </xf>
    <xf numFmtId="164" fontId="21" fillId="0" borderId="36" xfId="0" applyNumberFormat="1" applyFont="1" applyBorder="1" applyAlignment="1">
      <alignment horizontal="center" vertical="center"/>
    </xf>
    <xf numFmtId="0" fontId="15" fillId="50" borderId="34" xfId="0" applyFont="1" applyFill="1" applyBorder="1" applyAlignment="1" applyProtection="1">
      <alignment horizontal="justify" vertical="center"/>
      <protection hidden="1"/>
    </xf>
    <xf numFmtId="0" fontId="15" fillId="45" borderId="34" xfId="0" applyFont="1" applyFill="1" applyBorder="1" applyAlignment="1" applyProtection="1">
      <alignment horizontal="justify" vertical="center" wrapText="1"/>
      <protection hidden="1"/>
    </xf>
    <xf numFmtId="0" fontId="15" fillId="0" borderId="35" xfId="0" applyFont="1" applyBorder="1" applyAlignment="1" applyProtection="1">
      <alignment horizontal="justify" vertical="center" wrapText="1"/>
      <protection hidden="1"/>
    </xf>
    <xf numFmtId="0" fontId="11" fillId="45" borderId="34" xfId="2" applyFont="1" applyFill="1" applyBorder="1" applyAlignment="1" applyProtection="1">
      <alignment horizontal="left" vertical="top" wrapText="1"/>
      <protection hidden="1"/>
    </xf>
    <xf numFmtId="0" fontId="6" fillId="0" borderId="34" xfId="0" applyFont="1" applyBorder="1" applyAlignment="1" applyProtection="1">
      <alignment horizontal="left" vertical="center" wrapText="1"/>
      <protection hidden="1"/>
    </xf>
    <xf numFmtId="0" fontId="6" fillId="0" borderId="35" xfId="0" applyFont="1" applyBorder="1" applyAlignment="1" applyProtection="1">
      <alignment horizontal="justify" vertical="center"/>
      <protection hidden="1"/>
    </xf>
    <xf numFmtId="0" fontId="6" fillId="0" borderId="35" xfId="0" applyFont="1" applyBorder="1" applyAlignment="1" applyProtection="1">
      <alignment horizontal="justify" vertical="center" wrapText="1"/>
      <protection hidden="1"/>
    </xf>
    <xf numFmtId="0" fontId="15" fillId="0" borderId="0" xfId="0" applyFont="1" applyAlignment="1" applyProtection="1">
      <alignment horizontal="justify" vertical="center" wrapText="1"/>
      <protection hidden="1"/>
    </xf>
    <xf numFmtId="0" fontId="11" fillId="0" borderId="35" xfId="0" applyFont="1" applyBorder="1" applyAlignment="1" applyProtection="1">
      <alignment vertical="center" wrapText="1"/>
      <protection hidden="1"/>
    </xf>
    <xf numFmtId="0" fontId="1" fillId="0" borderId="34" xfId="0" applyFont="1" applyBorder="1" applyAlignment="1">
      <alignment horizontal="justify" vertical="center"/>
    </xf>
    <xf numFmtId="0" fontId="1" fillId="45" borderId="34" xfId="0" applyFont="1" applyFill="1" applyBorder="1" applyAlignment="1">
      <alignment horizontal="justify" vertical="center"/>
    </xf>
    <xf numFmtId="0" fontId="11" fillId="45" borderId="34" xfId="2" applyFont="1" applyFill="1" applyBorder="1" applyAlignment="1" applyProtection="1">
      <alignment horizontal="justify" vertical="center" wrapText="1"/>
      <protection hidden="1"/>
    </xf>
    <xf numFmtId="0" fontId="99" fillId="49" borderId="0" xfId="0" applyFont="1" applyFill="1" applyAlignment="1">
      <alignment horizontal="center" vertical="center" wrapText="1"/>
    </xf>
    <xf numFmtId="0" fontId="11" fillId="0" borderId="0" xfId="0" applyFont="1" applyAlignment="1">
      <alignment horizontal="center" vertical="center"/>
    </xf>
    <xf numFmtId="0" fontId="67" fillId="36" borderId="17" xfId="44">
      <alignment horizontal="center" vertical="center"/>
    </xf>
    <xf numFmtId="0" fontId="99" fillId="49" borderId="0" xfId="0" applyFont="1" applyFill="1" applyAlignment="1">
      <alignment horizontal="center"/>
    </xf>
    <xf numFmtId="0" fontId="50" fillId="47" borderId="2" xfId="4" applyFont="1" applyFill="1" applyBorder="1" applyAlignment="1">
      <alignment horizontal="center" vertical="center"/>
    </xf>
    <xf numFmtId="0" fontId="5" fillId="0" borderId="0" xfId="0" applyFont="1" applyAlignment="1" applyProtection="1">
      <alignment horizontal="center" vertical="center" wrapText="1"/>
      <protection locked="0"/>
    </xf>
    <xf numFmtId="0" fontId="67" fillId="36" borderId="17" xfId="44" applyAlignment="1" applyProtection="1">
      <alignment horizontal="left" vertical="center"/>
      <protection hidden="1"/>
    </xf>
    <xf numFmtId="0" fontId="67" fillId="36" borderId="17" xfId="44" applyProtection="1">
      <alignment horizontal="center" vertical="center"/>
      <protection hidden="1"/>
    </xf>
    <xf numFmtId="0" fontId="10" fillId="2" borderId="27" xfId="0" applyFont="1" applyFill="1" applyBorder="1" applyAlignment="1" applyProtection="1">
      <alignment horizontal="center" vertical="center"/>
      <protection hidden="1"/>
    </xf>
    <xf numFmtId="0" fontId="10" fillId="2" borderId="28" xfId="0" applyFont="1" applyFill="1" applyBorder="1" applyAlignment="1" applyProtection="1">
      <alignment horizontal="center" vertical="center"/>
      <protection hidden="1"/>
    </xf>
    <xf numFmtId="0" fontId="10" fillId="2" borderId="29" xfId="0" applyFont="1" applyFill="1" applyBorder="1" applyAlignment="1" applyProtection="1">
      <alignment horizontal="center" vertical="center"/>
      <protection hidden="1"/>
    </xf>
    <xf numFmtId="0" fontId="10" fillId="2" borderId="2" xfId="0" applyFont="1" applyFill="1" applyBorder="1" applyAlignment="1" applyProtection="1">
      <alignment horizontal="center" vertical="center" wrapText="1"/>
      <protection hidden="1"/>
    </xf>
    <xf numFmtId="0" fontId="63" fillId="37" borderId="2" xfId="0" applyFont="1" applyFill="1" applyBorder="1" applyAlignment="1" applyProtection="1">
      <alignment horizontal="center" vertical="center" wrapText="1"/>
      <protection hidden="1"/>
    </xf>
    <xf numFmtId="0" fontId="63" fillId="37" borderId="23" xfId="0" applyFont="1" applyFill="1" applyBorder="1" applyAlignment="1" applyProtection="1">
      <alignment horizontal="center" vertical="center" wrapText="1"/>
      <protection hidden="1"/>
    </xf>
    <xf numFmtId="0" fontId="58" fillId="37" borderId="18" xfId="0" applyFont="1" applyFill="1" applyBorder="1" applyAlignment="1" applyProtection="1">
      <alignment horizontal="center" vertical="center"/>
      <protection hidden="1"/>
    </xf>
    <xf numFmtId="0" fontId="58" fillId="37" borderId="5" xfId="0" applyFont="1" applyFill="1" applyBorder="1" applyAlignment="1" applyProtection="1">
      <alignment horizontal="center" vertical="center"/>
      <protection hidden="1"/>
    </xf>
    <xf numFmtId="0" fontId="61" fillId="2" borderId="20" xfId="0" applyFont="1" applyFill="1" applyBorder="1" applyAlignment="1" applyProtection="1">
      <alignment horizontal="center" vertical="center" wrapText="1"/>
      <protection hidden="1"/>
    </xf>
    <xf numFmtId="0" fontId="61" fillId="2" borderId="2" xfId="0" applyFont="1" applyFill="1" applyBorder="1" applyAlignment="1" applyProtection="1">
      <alignment horizontal="center" vertical="center" wrapText="1"/>
      <protection hidden="1"/>
    </xf>
    <xf numFmtId="0" fontId="60" fillId="2" borderId="21" xfId="0" applyFont="1" applyFill="1" applyBorder="1" applyAlignment="1" applyProtection="1">
      <alignment horizontal="center" vertical="center" wrapText="1"/>
      <protection hidden="1"/>
    </xf>
    <xf numFmtId="0" fontId="60" fillId="2" borderId="23" xfId="0" applyFont="1" applyFill="1" applyBorder="1" applyAlignment="1" applyProtection="1">
      <alignment horizontal="center" vertical="center" wrapText="1"/>
      <protection hidden="1"/>
    </xf>
    <xf numFmtId="0" fontId="66" fillId="3" borderId="2" xfId="0" applyFont="1" applyFill="1" applyBorder="1" applyAlignment="1" applyProtection="1">
      <alignment horizontal="center" vertical="center" wrapText="1"/>
      <protection hidden="1"/>
    </xf>
    <xf numFmtId="0" fontId="66" fillId="3" borderId="23" xfId="0" applyFont="1" applyFill="1" applyBorder="1" applyAlignment="1" applyProtection="1">
      <alignment horizontal="center" vertical="center" wrapText="1"/>
      <protection hidden="1"/>
    </xf>
    <xf numFmtId="0" fontId="67" fillId="49" borderId="17" xfId="44" applyFill="1">
      <alignment horizontal="center" vertical="center"/>
    </xf>
    <xf numFmtId="0" fontId="84" fillId="49" borderId="17" xfId="44" applyFont="1" applyFill="1">
      <alignment horizontal="center" vertical="center"/>
    </xf>
  </cellXfs>
  <cellStyles count="45">
    <cellStyle name="20% - Énfasis1" xfId="21" builtinId="30" customBuiltin="1"/>
    <cellStyle name="20% - Énfasis2" xfId="25" builtinId="34" customBuiltin="1"/>
    <cellStyle name="20% - Énfasis3" xfId="29" builtinId="38" customBuiltin="1"/>
    <cellStyle name="20% - Énfasis4" xfId="33" builtinId="42" customBuiltin="1"/>
    <cellStyle name="20% - Énfasis5" xfId="37" builtinId="46" customBuiltin="1"/>
    <cellStyle name="20% - Énfasis6" xfId="41" builtinId="50" customBuiltin="1"/>
    <cellStyle name="40% - Énfasis1" xfId="22" builtinId="31" customBuiltin="1"/>
    <cellStyle name="40% - Énfasis2" xfId="26" builtinId="35" customBuiltin="1"/>
    <cellStyle name="40% - Énfasis3" xfId="30" builtinId="39" customBuiltin="1"/>
    <cellStyle name="40% - Énfasis4" xfId="34" builtinId="43" customBuiltin="1"/>
    <cellStyle name="40% - Énfasis5" xfId="38" builtinId="47" customBuiltin="1"/>
    <cellStyle name="40% - Énfasis6" xfId="42" builtinId="51" customBuiltin="1"/>
    <cellStyle name="60% - Énfasis1" xfId="23" builtinId="32" customBuiltin="1"/>
    <cellStyle name="60% - Énfasis2" xfId="27" builtinId="36" customBuiltin="1"/>
    <cellStyle name="60% - Énfasis3" xfId="31" builtinId="40" customBuiltin="1"/>
    <cellStyle name="60% - Énfasis4" xfId="35" builtinId="44" customBuiltin="1"/>
    <cellStyle name="60% - Énfasis5" xfId="39" builtinId="48" customBuiltin="1"/>
    <cellStyle name="60% - Énfasis6" xfId="43" builtinId="52" customBuiltin="1"/>
    <cellStyle name="Bueno" xfId="3" builtinId="26" customBuiltin="1"/>
    <cellStyle name="Cálculo" xfId="13" builtinId="22" customBuiltin="1"/>
    <cellStyle name="Celda de comprobación" xfId="15" builtinId="23" customBuiltin="1"/>
    <cellStyle name="Celda vinculada" xfId="14" builtinId="24" customBuiltin="1"/>
    <cellStyle name="Encabezado 1" xfId="6" builtinId="16" customBuiltin="1"/>
    <cellStyle name="Encabezado 4" xfId="9" builtinId="19" customBuiltin="1"/>
    <cellStyle name="Énfasis1" xfId="20" builtinId="29" customBuiltin="1"/>
    <cellStyle name="Énfasis2" xfId="24" builtinId="33" customBuiltin="1"/>
    <cellStyle name="Énfasis3" xfId="28" builtinId="37" customBuiltin="1"/>
    <cellStyle name="Énfasis4" xfId="32" builtinId="41" customBuiltin="1"/>
    <cellStyle name="Énfasis5" xfId="36" builtinId="45" customBuiltin="1"/>
    <cellStyle name="Énfasis6" xfId="40" builtinId="49" customBuiltin="1"/>
    <cellStyle name="Entrada" xfId="11" builtinId="20" customBuiltin="1"/>
    <cellStyle name="Estilo 1" xfId="44" xr:uid="{7679E3B7-D927-4743-B09C-2E61C767C59F}"/>
    <cellStyle name="Hipervínculo" xfId="4" builtinId="8"/>
    <cellStyle name="Incorrecto" xfId="2" builtinId="27" customBuiltin="1"/>
    <cellStyle name="Neutral" xfId="10" builtinId="28" customBuiltin="1"/>
    <cellStyle name="Normal" xfId="0" builtinId="0"/>
    <cellStyle name="Normal 2" xfId="1" xr:uid="{E6A7B25C-BC82-4A0F-A894-A8C0BCE9E30A}"/>
    <cellStyle name="Notas" xfId="17" builtinId="10" customBuiltin="1"/>
    <cellStyle name="Salida" xfId="12" builtinId="21" customBuiltin="1"/>
    <cellStyle name="Texto de advertencia" xfId="16" builtinId="11" customBuiltin="1"/>
    <cellStyle name="Texto explicativo" xfId="18" builtinId="53" customBuiltin="1"/>
    <cellStyle name="Título" xfId="5" builtinId="15" customBuiltin="1"/>
    <cellStyle name="Título 2" xfId="7" builtinId="17" customBuiltin="1"/>
    <cellStyle name="Título 3" xfId="8" builtinId="18" customBuiltin="1"/>
    <cellStyle name="Total" xfId="19" builtinId="25" customBuiltin="1"/>
  </cellStyles>
  <dxfs count="151">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justify"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1"/>
        <color auto="1"/>
        <name val="Cambria"/>
        <family val="1"/>
        <scheme val="none"/>
      </font>
      <numFmt numFmtId="164" formatCode="00&quot;.&quo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1"/>
    </dxf>
    <dxf>
      <font>
        <strike val="0"/>
        <outline val="0"/>
        <shadow val="0"/>
        <u val="none"/>
        <vertAlign val="baseline"/>
        <sz val="11"/>
        <name val="Cambria"/>
        <family val="1"/>
        <scheme val="none"/>
      </font>
      <alignment vertical="center" textRotation="0"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justify" vertical="center" textRotation="0" wrapText="1" indent="0" justifyLastLine="0" shrinkToFit="0" readingOrder="0"/>
      <border diagonalUp="0" diagonalDown="0">
        <left style="thin">
          <color rgb="FF000000"/>
        </left>
        <right style="thin">
          <color rgb="FF000000"/>
        </right>
        <top style="thin">
          <color rgb="FF000000"/>
        </top>
        <bottom/>
        <vertical/>
        <horizontal/>
      </border>
      <protection locked="1" hidden="1"/>
    </dxf>
    <dxf>
      <font>
        <b/>
        <i val="0"/>
        <strike val="0"/>
        <condense val="0"/>
        <extend val="0"/>
        <outline val="0"/>
        <shadow val="0"/>
        <u val="none"/>
        <vertAlign val="baseline"/>
        <sz val="11"/>
        <color auto="1"/>
        <name val="Cambria"/>
        <family val="1"/>
        <scheme val="none"/>
      </font>
      <numFmt numFmtId="164" formatCode="00&quot;.&quo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1"/>
    </dxf>
    <dxf>
      <font>
        <strike val="0"/>
        <outline val="0"/>
        <shadow val="0"/>
        <u val="none"/>
        <vertAlign val="baseline"/>
        <sz val="11"/>
        <name val="Cambria"/>
        <family val="1"/>
        <scheme val="none"/>
      </font>
      <alignment vertical="center" textRotation="0"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rgb="FF00B050"/>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outline val="0"/>
        <shadow val="0"/>
        <u val="none"/>
        <vertAlign val="baseline"/>
        <name val="Cambria"/>
        <family val="1"/>
        <scheme val="none"/>
      </font>
      <fill>
        <patternFill patternType="none">
          <fgColor indexed="64"/>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outline val="0"/>
        <shadow val="0"/>
        <u val="none"/>
        <vertAlign val="baseline"/>
        <name val="Cambria"/>
        <family val="1"/>
        <scheme val="none"/>
      </font>
      <fill>
        <patternFill patternType="none">
          <fgColor indexed="64"/>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outline val="0"/>
        <shadow val="0"/>
        <u val="none"/>
        <vertAlign val="baseline"/>
        <name val="Cambria"/>
        <family val="1"/>
        <scheme val="none"/>
      </font>
      <fill>
        <patternFill patternType="none">
          <fgColor indexed="64"/>
          <bgColor auto="1"/>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vertical/>
        <horizontal/>
      </border>
      <protection locked="1" hidden="1"/>
    </dxf>
    <dxf>
      <font>
        <outline val="0"/>
        <shadow val="0"/>
        <u val="none"/>
        <vertAlign val="baseline"/>
        <name val="Cambria"/>
        <family val="1"/>
        <scheme val="none"/>
      </font>
      <numFmt numFmtId="164" formatCode="00&quot;.&quot;"/>
      <fill>
        <patternFill patternType="solid">
          <fgColor indexed="64"/>
          <bgColor theme="0"/>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outline val="0"/>
        <shadow val="0"/>
        <u val="none"/>
        <vertAlign val="baseline"/>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outline val="0"/>
        <shadow val="0"/>
        <u val="none"/>
        <vertAlign val="baseline"/>
        <name val="Cambria"/>
        <family val="1"/>
        <scheme val="none"/>
      </font>
      <fill>
        <patternFill patternType="solid">
          <fgColor indexed="64"/>
          <bgColor rgb="FF002060"/>
        </patternFill>
      </fill>
      <alignment vertical="center" textRotation="0"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rgb="FF000000"/>
          <bgColor auto="1"/>
        </patternFill>
      </fill>
      <alignment horizontal="center" vertical="center" textRotation="0" wrapText="1" indent="0" justifyLastLine="0" shrinkToFit="0" readingOrder="0"/>
      <protection locked="1" hidden="1"/>
    </dxf>
    <dxf>
      <font>
        <strike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top"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mbria"/>
        <family val="1"/>
        <scheme val="none"/>
      </font>
      <numFmt numFmtId="164" formatCode="00&quot;.&quot;"/>
      <fill>
        <patternFill patternType="solid">
          <fgColor indexed="64"/>
          <bgColor theme="0"/>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1" hidden="1"/>
    </dxf>
    <dxf>
      <font>
        <strike val="0"/>
        <outline val="0"/>
        <shadow val="0"/>
        <u val="none"/>
        <vertAlign val="baseline"/>
        <sz val="11"/>
        <name val="Cambria"/>
        <family val="1"/>
        <scheme val="none"/>
      </font>
      <alignment vertical="center" textRotation="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0"/>
        <color rgb="FF00B050"/>
        <name val="Cambria"/>
        <family val="1"/>
        <scheme val="none"/>
      </font>
      <fill>
        <patternFill patternType="none">
          <fgColor indexed="64"/>
          <bgColor indexed="65"/>
        </patternFill>
      </fill>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0"/>
        <color theme="1"/>
        <name val="Cambria"/>
        <family val="1"/>
        <scheme val="none"/>
      </font>
      <numFmt numFmtId="164" formatCode="00&quot;.&quo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strike val="0"/>
        <outline val="0"/>
        <shadow val="0"/>
        <vertAlign val="baseline"/>
        <name val="Cambria"/>
        <family val="1"/>
        <scheme val="none"/>
      </font>
      <alignment vertical="center" textRotation="0" indent="0" justifyLastLine="0" shrinkToFit="0" readingOrder="0"/>
      <protection locked="1" hidden="1"/>
    </dxf>
    <dxf>
      <font>
        <b/>
        <i val="0"/>
        <strike val="0"/>
        <condense val="0"/>
        <extend val="0"/>
        <outline val="0"/>
        <shadow val="0"/>
        <u val="none"/>
        <vertAlign val="baseline"/>
        <sz val="10"/>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strike val="0"/>
        <outline val="0"/>
        <shadow val="0"/>
        <vertAlign val="baseline"/>
        <name val="Cambria"/>
        <family val="1"/>
        <scheme val="none"/>
      </font>
      <fill>
        <patternFill patternType="none">
          <fgColor indexed="64"/>
          <bgColor indexed="65"/>
        </patternFill>
      </fill>
      <alignment horizontal="general"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strike val="0"/>
        <outline val="0"/>
        <shadow val="0"/>
        <vertAlign val="baseline"/>
        <name val="Cambria"/>
        <family val="1"/>
        <scheme val="none"/>
      </font>
      <fill>
        <patternFill patternType="none">
          <fgColor indexed="64"/>
          <bgColor indexed="65"/>
        </patternFill>
      </fill>
      <alignment horizontal="general"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strike val="0"/>
        <outline val="0"/>
        <shadow val="0"/>
        <vertAlign val="baseline"/>
        <name val="Cambria"/>
        <family val="1"/>
        <scheme val="none"/>
      </font>
      <fill>
        <patternFill patternType="none">
          <fgColor indexed="64"/>
          <bgColor indexed="65"/>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2"/>
        <color theme="1"/>
        <name val="Cambria"/>
        <family val="1"/>
        <scheme val="none"/>
      </font>
      <fill>
        <patternFill patternType="none">
          <fgColor indexed="64"/>
          <bgColor indexed="65"/>
        </patternFill>
      </fill>
      <alignment horizontal="justify" vertical="center" textRotation="0" wrapText="1" indent="0" justifyLastLine="0" shrinkToFit="0" readingOrder="0"/>
      <border diagonalUp="0" diagonalDown="0">
        <left style="thin">
          <color rgb="FF000000"/>
        </left>
        <right style="thin">
          <color rgb="FF000000"/>
        </right>
        <top style="thin">
          <color rgb="FF000000"/>
        </top>
        <bottom/>
        <vertical/>
        <horizontal/>
      </border>
      <protection locked="1" hidden="1"/>
    </dxf>
    <dxf>
      <font>
        <b/>
        <strike val="0"/>
        <outline val="0"/>
        <shadow val="0"/>
        <vertAlign val="baseline"/>
        <name val="Cambria"/>
        <family val="1"/>
        <scheme val="none"/>
      </font>
      <numFmt numFmtId="164" formatCode="00&quot;.&quot;"/>
      <fill>
        <patternFill patternType="none">
          <fgColor indexed="64"/>
          <bgColor indexed="65"/>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strike val="0"/>
        <outline val="0"/>
        <shadow val="0"/>
        <vertAlign val="baseline"/>
        <name val="Cambria"/>
        <family val="1"/>
        <scheme val="none"/>
      </font>
      <alignment vertical="center" textRotation="0"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strike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strike val="0"/>
        <outline val="0"/>
        <shadow val="0"/>
        <u val="none"/>
        <vertAlign val="baseline"/>
        <sz val="11"/>
        <color theme="1"/>
        <name val="Cambria"/>
        <family val="1"/>
        <scheme val="none"/>
      </font>
      <alignment vertical="center" textRotation="0"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0"/>
        <color theme="1"/>
        <name val="Cambria"/>
        <family val="1"/>
        <scheme val="none"/>
      </font>
      <fill>
        <patternFill patternType="none">
          <fgColor indexed="64"/>
          <bgColor indexed="65"/>
        </patternFill>
      </fill>
      <alignment horizontal="justify" vertical="center" textRotation="0" wrapText="1" indent="0" justifyLastLine="0" shrinkToFit="0" readingOrder="0"/>
      <border diagonalUp="0" diagonalDown="0">
        <left style="thin">
          <color rgb="FF000000"/>
        </left>
        <right style="thin">
          <color rgb="FF000000"/>
        </right>
        <top style="thin">
          <color rgb="FF000000"/>
        </top>
        <bottom/>
        <vertical/>
        <horizontal/>
      </border>
      <protection locked="1" hidden="1"/>
    </dxf>
    <dxf>
      <font>
        <b/>
        <i val="0"/>
        <strike val="0"/>
        <condense val="0"/>
        <extend val="0"/>
        <outline val="0"/>
        <shadow val="0"/>
        <u val="none"/>
        <vertAlign val="baseline"/>
        <sz val="10"/>
        <color theme="1"/>
        <name val="Cambria"/>
        <family val="1"/>
        <scheme val="none"/>
      </font>
      <numFmt numFmtId="164" formatCode="00&quot;.&quot;"/>
      <fill>
        <patternFill patternType="none">
          <fgColor indexed="64"/>
          <bgColor indexed="65"/>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i val="0"/>
        <strike val="0"/>
        <condense val="0"/>
        <extend val="0"/>
        <outline val="0"/>
        <shadow val="0"/>
        <u val="none"/>
        <vertAlign val="baseline"/>
        <sz val="10"/>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0"/>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none">
          <fgColor indexed="64"/>
          <bgColor auto="1"/>
        </patternFill>
      </fill>
      <alignment vertical="center" textRotation="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solid">
          <fgColor indexed="64"/>
          <bgColor rgb="FF002060"/>
        </patternFill>
      </fill>
      <alignment vertical="center" textRotation="0" indent="0" justifyLastLine="0" shrinkToFit="0" readingOrder="0"/>
      <protection locked="1" hidden="1"/>
    </dxf>
    <dxf>
      <font>
        <b val="0"/>
        <i val="0"/>
        <strike val="0"/>
        <condense val="0"/>
        <extend val="0"/>
        <outline val="0"/>
        <shadow val="0"/>
        <u val="none"/>
        <vertAlign val="baseline"/>
        <sz val="10"/>
        <color theme="1"/>
        <name val="Cambria"/>
        <family val="1"/>
        <scheme val="none"/>
      </font>
      <alignment horizontal="left" vertical="top" textRotation="0" wrapText="1" indent="4" justifyLastLine="0" shrinkToFit="0" readingOrder="0"/>
    </dxf>
    <dxf>
      <font>
        <b val="0"/>
        <i val="0"/>
        <strike val="0"/>
        <condense val="0"/>
        <extend val="0"/>
        <outline val="0"/>
        <shadow val="0"/>
        <u val="none"/>
        <vertAlign val="baseline"/>
        <sz val="11"/>
        <color theme="1"/>
        <name val="Cambria"/>
        <family val="1"/>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vertAlign val="baseline"/>
        <sz val="11"/>
        <name val="Cambria"/>
        <family val="1"/>
        <scheme val="none"/>
      </font>
      <alignment vertical="center" textRotation="0" indent="0" justifyLastLine="0" shrinkToFit="0" readingOrder="0"/>
      <protection locked="1" hidden="1"/>
    </dxf>
    <dxf>
      <font>
        <b val="0"/>
        <i val="0"/>
        <strike val="0"/>
        <condense val="0"/>
        <extend val="0"/>
        <outline val="0"/>
        <shadow val="0"/>
        <u val="none"/>
        <vertAlign val="baseline"/>
        <sz val="11"/>
        <color theme="1"/>
        <name val="Cambria"/>
        <family val="1"/>
        <scheme val="none"/>
      </font>
      <alignment horizontal="left" vertical="center" textRotation="0" wrapText="1" indent="0" justifyLastLine="0" shrinkToFit="0" readingOrder="0"/>
      <protection locked="1" hidden="1"/>
    </dxf>
    <dxf>
      <border outline="0">
        <bottom style="thin">
          <color indexed="64"/>
        </bottom>
      </border>
    </dxf>
    <dxf>
      <font>
        <b/>
        <i val="0"/>
        <strike val="0"/>
        <condense val="0"/>
        <extend val="0"/>
        <outline val="0"/>
        <shadow val="0"/>
        <u val="none"/>
        <vertAlign val="baseline"/>
        <sz val="11"/>
        <color theme="0"/>
        <name val="Cambria"/>
        <family val="1"/>
        <scheme val="none"/>
      </font>
      <fill>
        <gradientFill degree="90">
          <stop position="0">
            <color theme="0"/>
          </stop>
          <stop position="1">
            <color theme="4"/>
          </stop>
        </gradient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9"/>
        <name val="Microsoft Sans Serif"/>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strike val="0"/>
        <outline val="0"/>
        <shadow val="0"/>
        <u val="none"/>
        <vertAlign val="baseline"/>
        <sz val="11"/>
        <name val="Calibri"/>
        <family val="2"/>
        <scheme val="minor"/>
      </font>
      <alignment horizontal="left" vertical="center" textRotation="0" wrapText="1" indent="0" justifyLastLine="0" shrinkToFit="0" readingOrder="0"/>
      <protection locked="1" hidden="1"/>
    </dxf>
    <dxf>
      <font>
        <strike val="0"/>
        <outline val="0"/>
        <shadow val="0"/>
        <u val="none"/>
        <vertAlign val="baseline"/>
        <sz val="11"/>
        <name val="Calibri"/>
        <family val="2"/>
        <scheme val="minor"/>
      </font>
      <alignment horizontal="center" vertical="center" textRotation="0" wrapText="0" indent="0" justifyLastLine="0" shrinkToFit="0" readingOrder="0"/>
      <protection locked="1" hidden="1"/>
    </dxf>
    <dxf>
      <font>
        <strike val="0"/>
        <outline val="0"/>
        <shadow val="0"/>
        <u val="none"/>
        <vertAlign val="baseline"/>
        <sz val="11"/>
        <name val="Calibri"/>
        <family val="2"/>
        <scheme val="minor"/>
      </font>
      <alignment horizontal="general" vertical="center" textRotation="0" wrapText="1" indent="0" justifyLastLine="0" shrinkToFit="0" readingOrder="0"/>
      <protection locked="1" hidden="1"/>
    </dxf>
    <dxf>
      <font>
        <strike val="0"/>
        <outline val="0"/>
        <shadow val="0"/>
        <u val="none"/>
        <vertAlign val="baseline"/>
        <sz val="11"/>
        <name val="Calibri"/>
        <family val="2"/>
        <scheme val="minor"/>
      </font>
      <alignment horizontal="center" vertical="center" textRotation="0" wrapText="0" indent="0" justifyLastLine="0" shrinkToFit="0" readingOrder="0"/>
      <protection locked="1" hidden="1"/>
    </dxf>
    <dxf>
      <font>
        <strike val="0"/>
        <outline val="0"/>
        <shadow val="0"/>
        <u val="none"/>
        <vertAlign val="baseline"/>
        <sz val="11"/>
        <name val="Calibri"/>
        <family val="2"/>
        <scheme val="minor"/>
      </font>
      <alignment vertical="center" textRotation="0" indent="0" justifyLastLine="0" shrinkToFit="0" readingOrder="0"/>
      <protection locked="1" hidden="1"/>
    </dxf>
    <dxf>
      <font>
        <strike val="0"/>
        <outline val="0"/>
        <shadow val="0"/>
        <u val="none"/>
        <vertAlign val="baseline"/>
        <sz val="11"/>
        <name val="Calibri"/>
        <family val="2"/>
        <scheme val="minor"/>
      </font>
      <alignment vertical="center" textRotation="0" indent="0" justifyLastLine="0" shrinkToFit="0" readingOrder="0"/>
      <protection locked="1" hidden="1"/>
    </dxf>
    <dxf>
      <font>
        <strike val="0"/>
        <outline val="0"/>
        <shadow val="0"/>
        <u val="none"/>
        <vertAlign val="baseline"/>
        <sz val="11"/>
        <name val="Calibri"/>
        <family val="2"/>
        <scheme val="minor"/>
      </font>
      <alignment vertical="center" textRotation="0" indent="0" justifyLastLine="0" shrinkToFit="0" readingOrder="0"/>
      <protection locked="1" hidden="1"/>
    </dxf>
    <dxf>
      <font>
        <b/>
        <i val="0"/>
        <color theme="2"/>
      </font>
      <fill>
        <patternFill>
          <bgColor rgb="FF00206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CamposDeudor" pivot="0" count="2" xr9:uid="{5DE85867-8E86-40E5-89BE-717B4B800BC4}">
      <tableStyleElement type="wholeTable" dxfId="150"/>
      <tableStyleElement type="firstRowStripe" dxfId="149"/>
    </tableStyle>
    <tableStyle name="Invisible" pivot="0" table="0" count="0" xr9:uid="{EE95C12F-CF75-4116-94C8-9D0A9E78BAA3}"/>
  </tableStyles>
  <colors>
    <mruColors>
      <color rgb="FF0070C0"/>
      <color rgb="FF4472C4"/>
      <color rgb="FFA0E6FF"/>
      <color rgb="FF6ED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aredStrings" Target="sharedStrings.xml"/></Relationships>
</file>

<file path=xl/documenttasks/documenttask1.xml><?xml version="1.0" encoding="utf-8"?>
<Tasks xmlns="http://schemas.microsoft.com/office/tasks/2019/documenttasks">
  <Task id="{5133535A-65B4-4E04-9102-3737BDF511D8}">
    <Anchor>
      <Comment id="{3081F9C0-B32E-42DC-900E-654DC3565828}"/>
    </Anchor>
    <History>
      <Event time="2022-11-24T21:25:17.94" id="{18420416-BC6B-4177-AF37-451758E516C4}">
        <Attribution userId="S::marinqb@bccr.fi.cr::51cf11de-0ddd-455b-8700-9fd07cd87f4c" userName="MARIN QUESADA BRYAN ALBERTO" userProvider="AD"/>
        <Anchor>
          <Comment id="{3081F9C0-B32E-42DC-900E-654DC3565828}"/>
        </Anchor>
        <Create/>
      </Event>
      <Event time="2022-11-24T21:25:17.94" id="{DE0C0F49-87CC-4939-9CBF-201D48BE2821}">
        <Attribution userId="S::marinqb@bccr.fi.cr::51cf11de-0ddd-455b-8700-9fd07cd87f4c" userName="MARIN QUESADA BRYAN ALBERTO" userProvider="AD"/>
        <Anchor>
          <Comment id="{3081F9C0-B32E-42DC-900E-654DC3565828}"/>
        </Anchor>
        <Assign userId="S::arcell@sugef.fi.cr::c03f53f4-f951-4629-9587-d67e7755846c" userName="ARCE LOAIZA LEONEL" userProvider="AD"/>
      </Event>
      <Event time="2022-11-24T21:25:17.94" id="{66B0EA01-6F41-4FD9-82B2-F2B1F53B1BCF}">
        <Attribution userId="S::marinqb@bccr.fi.cr::51cf11de-0ddd-455b-8700-9fd07cd87f4c" userName="MARIN QUESADA BRYAN ALBERTO" userProvider="AD"/>
        <Anchor>
          <Comment id="{3081F9C0-B32E-42DC-900E-654DC3565828}"/>
        </Anchor>
        <SetTitle title="@ARCE LOAIZA LEONEL"/>
      </Event>
    </History>
  </Task>
  <Task id="{C8EDCA65-7EEF-4C72-9A25-B70A99A72D83}">
    <Anchor>
      <Comment id="{631FCED4-AA14-415D-BC99-695E6A533E45}"/>
    </Anchor>
    <History>
      <Event time="2022-11-23T18:45:53.70" id="{0C26AA4B-80F8-4259-B210-0582D2F0F077}">
        <Attribution userId="S::marinqb@bccr.fi.cr::51cf11de-0ddd-455b-8700-9fd07cd87f4c" userName="MARIN QUESADA BRYAN ALBERTO" userProvider="AD"/>
        <Anchor>
          <Comment id="{631FCED4-AA14-415D-BC99-695E6A533E45}"/>
        </Anchor>
        <Create/>
      </Event>
      <Event time="2022-11-23T18:45:53.70" id="{7E3D9808-50A9-4491-B291-205C964A97E3}">
        <Attribution userId="S::marinqb@bccr.fi.cr::51cf11de-0ddd-455b-8700-9fd07cd87f4c" userName="MARIN QUESADA BRYAN ALBERTO" userProvider="AD"/>
        <Anchor>
          <Comment id="{631FCED4-AA14-415D-BC99-695E6A533E45}"/>
        </Anchor>
        <Assign userId="S::arcell@sugef.fi.cr::c03f53f4-f951-4629-9587-d67e7755846c" userName="ARCE LOAIZA LEONEL" userProvider="AD"/>
      </Event>
      <Event time="2022-11-23T18:45:53.70" id="{388ECB06-1446-46DE-AA46-99DE47BEE470}">
        <Attribution userId="S::marinqb@bccr.fi.cr::51cf11de-0ddd-455b-8700-9fd07cd87f4c" userName="MARIN QUESADA BRYAN ALBERTO" userProvider="AD"/>
        <Anchor>
          <Comment id="{631FCED4-AA14-415D-BC99-695E6A533E45}"/>
        </Anchor>
        <SetTitle title="@ARCE LOAIZA LEONEL"/>
      </Event>
    </History>
  </Task>
  <Task id="{BFB37E93-F6C5-4F8E-89FD-1F10F4FA981D}">
    <Anchor>
      <Comment id="{AC62B9A4-D197-4EAF-949D-63EAE082651B}"/>
    </Anchor>
    <History>
      <Event time="2022-11-23T15:52:13.35" id="{25366278-7D82-423E-BDC7-75DD2CD53AB3}">
        <Attribution userId="S::marinqb@bccr.fi.cr::51cf11de-0ddd-455b-8700-9fd07cd87f4c" userName="MARIN QUESADA BRYAN ALBERTO" userProvider="AD"/>
        <Anchor>
          <Comment id="{AC62B9A4-D197-4EAF-949D-63EAE082651B}"/>
        </Anchor>
        <Create/>
      </Event>
      <Event time="2022-11-23T15:52:13.35" id="{25D84B6B-F19B-48D2-BBDC-5B19BB306A37}">
        <Attribution userId="S::marinqb@bccr.fi.cr::51cf11de-0ddd-455b-8700-9fd07cd87f4c" userName="MARIN QUESADA BRYAN ALBERTO" userProvider="AD"/>
        <Anchor>
          <Comment id="{AC62B9A4-D197-4EAF-949D-63EAE082651B}"/>
        </Anchor>
        <Assign userId="S::FERNANDEZRC@bccr.fi.cr::230af129-81d1-4b12-b494-5b225e418248" userName="CARLOS ALBERTO FERNANDEZ ROJAS" userProvider="AD"/>
      </Event>
      <Event time="2022-11-23T15:52:13.35" id="{D16946FF-9D2A-49B9-9D5B-DC888C127493}">
        <Attribution userId="S::marinqb@bccr.fi.cr::51cf11de-0ddd-455b-8700-9fd07cd87f4c" userName="MARIN QUESADA BRYAN ALBERTO" userProvider="AD"/>
        <Anchor>
          <Comment id="{AC62B9A4-D197-4EAF-949D-63EAE082651B}"/>
        </Anchor>
        <SetTitle title="@CARLOS ALBERTO FERNANDEZ ROJAS listo"/>
      </Event>
    </History>
  </Task>
  <Task id="{3A3FEEA9-2114-440F-8711-8D2145C2435F}">
    <Anchor>
      <Comment id="{2C753EE5-D654-4C9B-A93D-AC043113A7A3}"/>
    </Anchor>
    <History>
      <Event time="2022-11-23T20:13:47.41" id="{A1F21E8F-D285-42E1-BAB0-F06F9602B653}">
        <Attribution userId="S::marinqb@bccr.fi.cr::51cf11de-0ddd-455b-8700-9fd07cd87f4c" userName="MARIN QUESADA BRYAN ALBERTO" userProvider="AD"/>
        <Anchor>
          <Comment id="{2C753EE5-D654-4C9B-A93D-AC043113A7A3}"/>
        </Anchor>
        <Create/>
      </Event>
      <Event time="2022-11-23T20:13:47.41" id="{A307B0F2-42F9-426A-9C68-E7DD8736A262}">
        <Attribution userId="S::marinqb@bccr.fi.cr::51cf11de-0ddd-455b-8700-9fd07cd87f4c" userName="MARIN QUESADA BRYAN ALBERTO" userProvider="AD"/>
        <Anchor>
          <Comment id="{2C753EE5-D654-4C9B-A93D-AC043113A7A3}"/>
        </Anchor>
        <Assign userId="S::NUNEZSE@bccr.fi.cr::94124295-b3a2-4e65-8a7b-aaf1922abfd5" userName="EDDY GERARDO NUÑEZ SALAZAR" userProvider="AD"/>
      </Event>
      <Event time="2022-11-23T20:13:47.41" id="{0D9F632F-C6AB-4631-9452-0BE6E0CBB97F}">
        <Attribution userId="S::marinqb@bccr.fi.cr::51cf11de-0ddd-455b-8700-9fd07cd87f4c" userName="MARIN QUESADA BRYAN ALBERTO" userProvider="AD"/>
        <Anchor>
          <Comment id="{2C753EE5-D654-4C9B-A93D-AC043113A7A3}"/>
        </Anchor>
        <SetTitle title="@EDDY GERARDO NUÑEZ SALAZAR"/>
      </Event>
    </History>
  </Task>
  <Task id="{0B5FDCED-F51F-478B-A064-3E00A666BE63}">
    <Anchor>
      <Comment id="{52253FCF-FAB1-4574-ACFF-E1EA1D8F9D91}"/>
    </Anchor>
    <History>
      <Event time="2022-11-23T21:25:37.48" id="{B6A3AF04-52C9-445F-81DC-6106662123E9}">
        <Attribution userId="S::marinqb@bccr.fi.cr::51cf11de-0ddd-455b-8700-9fd07cd87f4c" userName="MARIN QUESADA BRYAN ALBERTO" userProvider="AD"/>
        <Anchor>
          <Comment id="{52253FCF-FAB1-4574-ACFF-E1EA1D8F9D91}"/>
        </Anchor>
        <Create/>
      </Event>
      <Event time="2022-11-23T21:25:37.48" id="{33F0284D-47DE-4B39-8F29-7343D0567791}">
        <Attribution userId="S::marinqb@bccr.fi.cr::51cf11de-0ddd-455b-8700-9fd07cd87f4c" userName="MARIN QUESADA BRYAN ALBERTO" userProvider="AD"/>
        <Anchor>
          <Comment id="{52253FCF-FAB1-4574-ACFF-E1EA1D8F9D91}"/>
        </Anchor>
        <Assign userId="S::FERNANDEZRC@bccr.fi.cr::230af129-81d1-4b12-b494-5b225e418248" userName="CARLOS ALBERTO FERNANDEZ ROJAS" userProvider="AD"/>
      </Event>
      <Event time="2022-11-23T21:25:37.48" id="{AC423BFE-4BFA-4FB6-B398-FE97E7D2EAA8}">
        <Attribution userId="S::marinqb@bccr.fi.cr::51cf11de-0ddd-455b-8700-9fd07cd87f4c" userName="MARIN QUESADA BRYAN ALBERTO" userProvider="AD"/>
        <Anchor>
          <Comment id="{52253FCF-FAB1-4574-ACFF-E1EA1D8F9D91}"/>
        </Anchor>
        <SetTitle title="@CARLOS ALBERTO FERNANDEZ ROJAS"/>
      </Event>
    </History>
  </Task>
</Tasks>
</file>

<file path=xl/drawings/_rels/drawing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4.xml.rels><?xml version="1.0" encoding="UTF-8" standalone="yes"?>
<Relationships xmlns="http://schemas.openxmlformats.org/package/2006/relationships"><Relationship Id="rId1" Type="http://schemas.openxmlformats.org/officeDocument/2006/relationships/hyperlink" Target="#'Indice Archivos'!C2"/></Relationships>
</file>

<file path=xl/drawings/drawing1.xml><?xml version="1.0" encoding="utf-8"?>
<xdr:wsDr xmlns:xdr="http://schemas.openxmlformats.org/drawingml/2006/spreadsheetDrawing" xmlns:a="http://schemas.openxmlformats.org/drawingml/2006/main">
  <xdr:twoCellAnchor>
    <xdr:from>
      <xdr:col>2</xdr:col>
      <xdr:colOff>2701636</xdr:colOff>
      <xdr:row>0</xdr:row>
      <xdr:rowOff>0</xdr:rowOff>
    </xdr:from>
    <xdr:to>
      <xdr:col>3</xdr:col>
      <xdr:colOff>2525398</xdr:colOff>
      <xdr:row>2</xdr:row>
      <xdr:rowOff>123305</xdr:rowOff>
    </xdr:to>
    <xdr:sp macro="" textlink="">
      <xdr:nvSpPr>
        <xdr:cNvPr id="2" name="Flecha: a la derecha con muesca 1">
          <a:hlinkClick xmlns:r="http://schemas.openxmlformats.org/officeDocument/2006/relationships" r:id="rId1"/>
          <a:extLst>
            <a:ext uri="{FF2B5EF4-FFF2-40B4-BE49-F238E27FC236}">
              <a16:creationId xmlns:a16="http://schemas.microsoft.com/office/drawing/2014/main" id="{D44F6652-2436-4593-9668-1FA279DEADDA}"/>
            </a:ext>
          </a:extLst>
        </xdr:cNvPr>
        <xdr:cNvSpPr/>
      </xdr:nvSpPr>
      <xdr:spPr>
        <a:xfrm>
          <a:off x="8080086" y="0"/>
          <a:ext cx="2719362" cy="1209155"/>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268060</xdr:colOff>
      <xdr:row>77</xdr:row>
      <xdr:rowOff>43543</xdr:rowOff>
    </xdr:from>
    <xdr:to>
      <xdr:col>2</xdr:col>
      <xdr:colOff>3173185</xdr:colOff>
      <xdr:row>88</xdr:row>
      <xdr:rowOff>51707</xdr:rowOff>
    </xdr:to>
    <xdr:pic>
      <xdr:nvPicPr>
        <xdr:cNvPr id="2" name="Imagen 1">
          <a:extLst>
            <a:ext uri="{FF2B5EF4-FFF2-40B4-BE49-F238E27FC236}">
              <a16:creationId xmlns:a16="http://schemas.microsoft.com/office/drawing/2014/main" id="{0F1574BC-2FE3-403F-9196-F10C4ABE0189}"/>
            </a:ext>
          </a:extLst>
        </xdr:cNvPr>
        <xdr:cNvPicPr>
          <a:picLocks noChangeAspect="1"/>
        </xdr:cNvPicPr>
      </xdr:nvPicPr>
      <xdr:blipFill>
        <a:blip xmlns:r="http://schemas.openxmlformats.org/officeDocument/2006/relationships" r:embed="rId1"/>
        <a:stretch>
          <a:fillRect/>
        </a:stretch>
      </xdr:blipFill>
      <xdr:spPr>
        <a:xfrm>
          <a:off x="2042431" y="4648200"/>
          <a:ext cx="2905125" cy="1924050"/>
        </a:xfrm>
        <a:prstGeom prst="rect">
          <a:avLst/>
        </a:prstGeom>
      </xdr:spPr>
    </xdr:pic>
    <xdr:clientData/>
  </xdr:twoCellAnchor>
  <xdr:twoCellAnchor editAs="oneCell">
    <xdr:from>
      <xdr:col>2</xdr:col>
      <xdr:colOff>3423557</xdr:colOff>
      <xdr:row>77</xdr:row>
      <xdr:rowOff>163286</xdr:rowOff>
    </xdr:from>
    <xdr:to>
      <xdr:col>2</xdr:col>
      <xdr:colOff>6862082</xdr:colOff>
      <xdr:row>88</xdr:row>
      <xdr:rowOff>47625</xdr:rowOff>
    </xdr:to>
    <xdr:pic>
      <xdr:nvPicPr>
        <xdr:cNvPr id="3" name="Imagen 2">
          <a:extLst>
            <a:ext uri="{FF2B5EF4-FFF2-40B4-BE49-F238E27FC236}">
              <a16:creationId xmlns:a16="http://schemas.microsoft.com/office/drawing/2014/main" id="{D5BE0D6C-A50D-491D-95A2-1B8D706549BA}"/>
            </a:ext>
            <a:ext uri="{147F2762-F138-4A5C-976F-8EAC2B608ADB}">
              <a16:predDERef xmlns:a16="http://schemas.microsoft.com/office/drawing/2014/main" pred="{0F1574BC-2FE3-403F-9196-F10C4ABE0189}"/>
            </a:ext>
          </a:extLst>
        </xdr:cNvPr>
        <xdr:cNvPicPr>
          <a:picLocks noChangeAspect="1"/>
        </xdr:cNvPicPr>
      </xdr:nvPicPr>
      <xdr:blipFill>
        <a:blip xmlns:r="http://schemas.openxmlformats.org/officeDocument/2006/relationships" r:embed="rId2"/>
        <a:stretch>
          <a:fillRect/>
        </a:stretch>
      </xdr:blipFill>
      <xdr:spPr>
        <a:xfrm>
          <a:off x="5197928" y="4767943"/>
          <a:ext cx="3438525" cy="1800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238125</xdr:colOff>
      <xdr:row>2</xdr:row>
      <xdr:rowOff>158750</xdr:rowOff>
    </xdr:from>
    <xdr:to>
      <xdr:col>3</xdr:col>
      <xdr:colOff>1762126</xdr:colOff>
      <xdr:row>4</xdr:row>
      <xdr:rowOff>63500</xdr:rowOff>
    </xdr:to>
    <xdr:sp macro="[0]!Mostrar_frmHojas" textlink="">
      <xdr:nvSpPr>
        <xdr:cNvPr id="2" name="Rectángulo: esquinas redondeadas 1">
          <a:extLst>
            <a:ext uri="{FF2B5EF4-FFF2-40B4-BE49-F238E27FC236}">
              <a16:creationId xmlns:a16="http://schemas.microsoft.com/office/drawing/2014/main" id="{C225BBC5-B820-4DD4-A1FD-E0EB3167D43E}"/>
            </a:ext>
          </a:extLst>
        </xdr:cNvPr>
        <xdr:cNvSpPr/>
      </xdr:nvSpPr>
      <xdr:spPr>
        <a:xfrm>
          <a:off x="1119188" y="539750"/>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585107</xdr:colOff>
      <xdr:row>18</xdr:row>
      <xdr:rowOff>557893</xdr:rowOff>
    </xdr:from>
    <xdr:to>
      <xdr:col>16</xdr:col>
      <xdr:colOff>585107</xdr:colOff>
      <xdr:row>19</xdr:row>
      <xdr:rowOff>2241642</xdr:rowOff>
    </xdr:to>
    <xdr:pic>
      <xdr:nvPicPr>
        <xdr:cNvPr id="35" name="Imagen 34">
          <a:extLst>
            <a:ext uri="{FF2B5EF4-FFF2-40B4-BE49-F238E27FC236}">
              <a16:creationId xmlns:a16="http://schemas.microsoft.com/office/drawing/2014/main" id="{7BB10029-14C0-121F-5235-7F9612C622DC}"/>
            </a:ext>
            <a:ext uri="{147F2762-F138-4A5C-976F-8EAC2B608ADB}">
              <a16:predDERef xmlns:a16="http://schemas.microsoft.com/office/drawing/2014/main" pred="{6F831EB9-8B59-4595-B6C3-37FCBE53B660}"/>
            </a:ext>
          </a:extLst>
        </xdr:cNvPr>
        <xdr:cNvPicPr>
          <a:picLocks noChangeAspect="1"/>
        </xdr:cNvPicPr>
      </xdr:nvPicPr>
      <xdr:blipFill>
        <a:blip xmlns:r="http://schemas.openxmlformats.org/officeDocument/2006/relationships" r:embed="rId1"/>
        <a:stretch>
          <a:fillRect/>
        </a:stretch>
      </xdr:blipFill>
      <xdr:spPr>
        <a:xfrm>
          <a:off x="15362464" y="11416393"/>
          <a:ext cx="4572000" cy="2409825"/>
        </a:xfrm>
        <a:prstGeom prst="rect">
          <a:avLst/>
        </a:prstGeom>
      </xdr:spPr>
    </xdr:pic>
    <xdr:clientData/>
  </xdr:twoCellAnchor>
  <xdr:twoCellAnchor editAs="oneCell">
    <xdr:from>
      <xdr:col>21</xdr:col>
      <xdr:colOff>648949</xdr:colOff>
      <xdr:row>74</xdr:row>
      <xdr:rowOff>76200</xdr:rowOff>
    </xdr:from>
    <xdr:to>
      <xdr:col>29</xdr:col>
      <xdr:colOff>438663</xdr:colOff>
      <xdr:row>76</xdr:row>
      <xdr:rowOff>85130</xdr:rowOff>
    </xdr:to>
    <xdr:pic>
      <xdr:nvPicPr>
        <xdr:cNvPr id="10" name="Imagen 1">
          <a:extLst>
            <a:ext uri="{FF2B5EF4-FFF2-40B4-BE49-F238E27FC236}">
              <a16:creationId xmlns:a16="http://schemas.microsoft.com/office/drawing/2014/main" id="{D5C239FC-3984-4CBC-9B2B-A83C87B3CFE2}"/>
            </a:ext>
            <a:ext uri="{147F2762-F138-4A5C-976F-8EAC2B608ADB}">
              <a16:predDERef xmlns:a16="http://schemas.microsoft.com/office/drawing/2014/main" pred="{7BB10029-14C0-121F-5235-7F9612C622DC}"/>
            </a:ext>
          </a:extLst>
        </xdr:cNvPr>
        <xdr:cNvPicPr>
          <a:picLocks noChangeAspect="1"/>
        </xdr:cNvPicPr>
      </xdr:nvPicPr>
      <xdr:blipFill rotWithShape="1">
        <a:blip xmlns:r="http://schemas.openxmlformats.org/officeDocument/2006/relationships" r:embed="rId2"/>
        <a:srcRect b="82629"/>
        <a:stretch/>
      </xdr:blipFill>
      <xdr:spPr>
        <a:xfrm>
          <a:off x="29957374" y="31832550"/>
          <a:ext cx="5885714" cy="370881"/>
        </a:xfrm>
        <a:prstGeom prst="rect">
          <a:avLst/>
        </a:prstGeom>
      </xdr:spPr>
    </xdr:pic>
    <xdr:clientData/>
  </xdr:twoCellAnchor>
  <xdr:twoCellAnchor editAs="oneCell">
    <xdr:from>
      <xdr:col>16</xdr:col>
      <xdr:colOff>100052</xdr:colOff>
      <xdr:row>68</xdr:row>
      <xdr:rowOff>21771</xdr:rowOff>
    </xdr:from>
    <xdr:to>
      <xdr:col>24</xdr:col>
      <xdr:colOff>699290</xdr:colOff>
      <xdr:row>70</xdr:row>
      <xdr:rowOff>157780</xdr:rowOff>
    </xdr:to>
    <xdr:pic>
      <xdr:nvPicPr>
        <xdr:cNvPr id="11" name="Imagen 2">
          <a:extLst>
            <a:ext uri="{FF2B5EF4-FFF2-40B4-BE49-F238E27FC236}">
              <a16:creationId xmlns:a16="http://schemas.microsoft.com/office/drawing/2014/main" id="{A07698AA-F590-423C-B870-D05073798B23}"/>
            </a:ext>
            <a:ext uri="{147F2762-F138-4A5C-976F-8EAC2B608ADB}">
              <a16:predDERef xmlns:a16="http://schemas.microsoft.com/office/drawing/2014/main" pred="{D5C239FC-3984-4CBC-9B2B-A83C87B3CFE2}"/>
            </a:ext>
          </a:extLst>
        </xdr:cNvPr>
        <xdr:cNvPicPr>
          <a:picLocks noChangeAspect="1"/>
        </xdr:cNvPicPr>
      </xdr:nvPicPr>
      <xdr:blipFill>
        <a:blip xmlns:r="http://schemas.openxmlformats.org/officeDocument/2006/relationships" r:embed="rId3"/>
        <a:stretch>
          <a:fillRect/>
        </a:stretch>
      </xdr:blipFill>
      <xdr:spPr>
        <a:xfrm>
          <a:off x="25598477" y="30692271"/>
          <a:ext cx="6695238" cy="507484"/>
        </a:xfrm>
        <a:prstGeom prst="rect">
          <a:avLst/>
        </a:prstGeom>
      </xdr:spPr>
    </xdr:pic>
    <xdr:clientData/>
  </xdr:twoCellAnchor>
  <xdr:twoCellAnchor editAs="oneCell">
    <xdr:from>
      <xdr:col>16</xdr:col>
      <xdr:colOff>67171</xdr:colOff>
      <xdr:row>66</xdr:row>
      <xdr:rowOff>57150</xdr:rowOff>
    </xdr:from>
    <xdr:to>
      <xdr:col>21</xdr:col>
      <xdr:colOff>142885</xdr:colOff>
      <xdr:row>67</xdr:row>
      <xdr:rowOff>361891</xdr:rowOff>
    </xdr:to>
    <xdr:pic>
      <xdr:nvPicPr>
        <xdr:cNvPr id="13" name="Imagen 3">
          <a:extLst>
            <a:ext uri="{FF2B5EF4-FFF2-40B4-BE49-F238E27FC236}">
              <a16:creationId xmlns:a16="http://schemas.microsoft.com/office/drawing/2014/main" id="{655577F5-C6DD-4E43-ACD1-D42836D43C08}"/>
            </a:ext>
            <a:ext uri="{147F2762-F138-4A5C-976F-8EAC2B608ADB}">
              <a16:predDERef xmlns:a16="http://schemas.microsoft.com/office/drawing/2014/main" pred="{A07698AA-F590-423C-B870-D05073798B23}"/>
            </a:ext>
          </a:extLst>
        </xdr:cNvPr>
        <xdr:cNvPicPr>
          <a:picLocks noChangeAspect="1"/>
        </xdr:cNvPicPr>
      </xdr:nvPicPr>
      <xdr:blipFill>
        <a:blip xmlns:r="http://schemas.openxmlformats.org/officeDocument/2006/relationships" r:embed="rId4"/>
        <a:stretch>
          <a:fillRect/>
        </a:stretch>
      </xdr:blipFill>
      <xdr:spPr>
        <a:xfrm>
          <a:off x="25565596" y="30365700"/>
          <a:ext cx="3885714" cy="489796"/>
        </a:xfrm>
        <a:prstGeom prst="rect">
          <a:avLst/>
        </a:prstGeom>
      </xdr:spPr>
    </xdr:pic>
    <xdr:clientData/>
  </xdr:twoCellAnchor>
  <xdr:twoCellAnchor editAs="oneCell">
    <xdr:from>
      <xdr:col>12</xdr:col>
      <xdr:colOff>733708</xdr:colOff>
      <xdr:row>73</xdr:row>
      <xdr:rowOff>171450</xdr:rowOff>
    </xdr:from>
    <xdr:to>
      <xdr:col>18</xdr:col>
      <xdr:colOff>237898</xdr:colOff>
      <xdr:row>76</xdr:row>
      <xdr:rowOff>156417</xdr:rowOff>
    </xdr:to>
    <xdr:pic>
      <xdr:nvPicPr>
        <xdr:cNvPr id="12" name="Imagen 4">
          <a:extLst>
            <a:ext uri="{FF2B5EF4-FFF2-40B4-BE49-F238E27FC236}">
              <a16:creationId xmlns:a16="http://schemas.microsoft.com/office/drawing/2014/main" id="{0BF43D0F-F3CF-4783-B08C-0EBF62556865}"/>
            </a:ext>
            <a:ext uri="{147F2762-F138-4A5C-976F-8EAC2B608ADB}">
              <a16:predDERef xmlns:a16="http://schemas.microsoft.com/office/drawing/2014/main" pred="{655577F5-C6DD-4E43-ACD1-D42836D43C08}"/>
            </a:ext>
          </a:extLst>
        </xdr:cNvPr>
        <xdr:cNvPicPr>
          <a:picLocks noChangeAspect="1"/>
        </xdr:cNvPicPr>
      </xdr:nvPicPr>
      <xdr:blipFill>
        <a:blip xmlns:r="http://schemas.openxmlformats.org/officeDocument/2006/relationships" r:embed="rId5"/>
        <a:stretch>
          <a:fillRect/>
        </a:stretch>
      </xdr:blipFill>
      <xdr:spPr>
        <a:xfrm>
          <a:off x="23184133" y="31746825"/>
          <a:ext cx="4076190" cy="527892"/>
        </a:xfrm>
        <a:prstGeom prst="rect">
          <a:avLst/>
        </a:prstGeom>
      </xdr:spPr>
    </xdr:pic>
    <xdr:clientData/>
  </xdr:twoCellAnchor>
  <xdr:twoCellAnchor editAs="oneCell">
    <xdr:from>
      <xdr:col>9</xdr:col>
      <xdr:colOff>1313088</xdr:colOff>
      <xdr:row>24</xdr:row>
      <xdr:rowOff>3143090</xdr:rowOff>
    </xdr:from>
    <xdr:to>
      <xdr:col>21</xdr:col>
      <xdr:colOff>423905</xdr:colOff>
      <xdr:row>25</xdr:row>
      <xdr:rowOff>1444920</xdr:rowOff>
    </xdr:to>
    <xdr:pic>
      <xdr:nvPicPr>
        <xdr:cNvPr id="6" name="Imagen 5">
          <a:extLst>
            <a:ext uri="{FF2B5EF4-FFF2-40B4-BE49-F238E27FC236}">
              <a16:creationId xmlns:a16="http://schemas.microsoft.com/office/drawing/2014/main" id="{8E482758-3588-478F-8023-8953614812CD}"/>
            </a:ext>
            <a:ext uri="{147F2762-F138-4A5C-976F-8EAC2B608ADB}">
              <a16:predDERef xmlns:a16="http://schemas.microsoft.com/office/drawing/2014/main" pred="{0BF43D0F-F3CF-4783-B08C-0EBF62556865}"/>
            </a:ext>
          </a:extLst>
        </xdr:cNvPr>
        <xdr:cNvPicPr>
          <a:picLocks noChangeAspect="1"/>
        </xdr:cNvPicPr>
      </xdr:nvPicPr>
      <xdr:blipFill>
        <a:blip xmlns:r="http://schemas.openxmlformats.org/officeDocument/2006/relationships" r:embed="rId6"/>
        <a:stretch>
          <a:fillRect/>
        </a:stretch>
      </xdr:blipFill>
      <xdr:spPr>
        <a:xfrm>
          <a:off x="17238888" y="19049840"/>
          <a:ext cx="8940616" cy="14476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2929759</xdr:colOff>
      <xdr:row>1</xdr:row>
      <xdr:rowOff>91966</xdr:rowOff>
    </xdr:from>
    <xdr:to>
      <xdr:col>4</xdr:col>
      <xdr:colOff>4453760</xdr:colOff>
      <xdr:row>1</xdr:row>
      <xdr:rowOff>377716</xdr:rowOff>
    </xdr:to>
    <xdr:sp macro="[0]!Mostrar_frmHojas" textlink="">
      <xdr:nvSpPr>
        <xdr:cNvPr id="2" name="Rectángulo: esquinas redondeadas 1">
          <a:extLst>
            <a:ext uri="{FF2B5EF4-FFF2-40B4-BE49-F238E27FC236}">
              <a16:creationId xmlns:a16="http://schemas.microsoft.com/office/drawing/2014/main" id="{F01AED1F-1D41-4DA4-8C34-43529FC17750}"/>
            </a:ext>
          </a:extLst>
        </xdr:cNvPr>
        <xdr:cNvSpPr/>
      </xdr:nvSpPr>
      <xdr:spPr>
        <a:xfrm>
          <a:off x="10569466" y="282466"/>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2766391</xdr:colOff>
      <xdr:row>0</xdr:row>
      <xdr:rowOff>57972</xdr:rowOff>
    </xdr:from>
    <xdr:to>
      <xdr:col>3</xdr:col>
      <xdr:colOff>4290392</xdr:colOff>
      <xdr:row>1</xdr:row>
      <xdr:rowOff>153222</xdr:rowOff>
    </xdr:to>
    <xdr:sp macro="[0]!Mostrar_frmHojas" textlink="">
      <xdr:nvSpPr>
        <xdr:cNvPr id="2" name="Rectángulo: esquinas redondeadas 1">
          <a:extLst>
            <a:ext uri="{FF2B5EF4-FFF2-40B4-BE49-F238E27FC236}">
              <a16:creationId xmlns:a16="http://schemas.microsoft.com/office/drawing/2014/main" id="{BCC42DE3-8535-48B8-91A5-A00455D9DDC7}"/>
            </a:ext>
          </a:extLst>
        </xdr:cNvPr>
        <xdr:cNvSpPr/>
      </xdr:nvSpPr>
      <xdr:spPr>
        <a:xfrm>
          <a:off x="7288695" y="57972"/>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175172</xdr:colOff>
      <xdr:row>2</xdr:row>
      <xdr:rowOff>5474</xdr:rowOff>
    </xdr:from>
    <xdr:to>
      <xdr:col>9</xdr:col>
      <xdr:colOff>177363</xdr:colOff>
      <xdr:row>3</xdr:row>
      <xdr:rowOff>99630</xdr:rowOff>
    </xdr:to>
    <xdr:sp macro="[0]!Mostrar_frmHojas" textlink="">
      <xdr:nvSpPr>
        <xdr:cNvPr id="2" name="Rectángulo: esquinas redondeadas 1">
          <a:extLst>
            <a:ext uri="{FF2B5EF4-FFF2-40B4-BE49-F238E27FC236}">
              <a16:creationId xmlns:a16="http://schemas.microsoft.com/office/drawing/2014/main" id="{C3244B6A-AAAC-452F-B12E-4BEF940D35D1}"/>
            </a:ext>
          </a:extLst>
        </xdr:cNvPr>
        <xdr:cNvSpPr/>
      </xdr:nvSpPr>
      <xdr:spPr>
        <a:xfrm>
          <a:off x="7641896" y="388664"/>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2190750</xdr:colOff>
      <xdr:row>0</xdr:row>
      <xdr:rowOff>133350</xdr:rowOff>
    </xdr:from>
    <xdr:to>
      <xdr:col>4</xdr:col>
      <xdr:colOff>1400176</xdr:colOff>
      <xdr:row>1</xdr:row>
      <xdr:rowOff>238125</xdr:rowOff>
    </xdr:to>
    <xdr:sp macro="[0]!Mostrar_frmHojas" textlink="">
      <xdr:nvSpPr>
        <xdr:cNvPr id="2" name="Rectángulo: esquinas redondeadas 1">
          <a:extLst>
            <a:ext uri="{FF2B5EF4-FFF2-40B4-BE49-F238E27FC236}">
              <a16:creationId xmlns:a16="http://schemas.microsoft.com/office/drawing/2014/main" id="{4DB7A93A-E6AE-45F4-A9C4-94840427E034}"/>
            </a:ext>
          </a:extLst>
        </xdr:cNvPr>
        <xdr:cNvSpPr/>
      </xdr:nvSpPr>
      <xdr:spPr>
        <a:xfrm>
          <a:off x="5800725" y="133350"/>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714375</xdr:colOff>
      <xdr:row>0</xdr:row>
      <xdr:rowOff>114300</xdr:rowOff>
    </xdr:from>
    <xdr:to>
      <xdr:col>7</xdr:col>
      <xdr:colOff>1019176</xdr:colOff>
      <xdr:row>1</xdr:row>
      <xdr:rowOff>219075</xdr:rowOff>
    </xdr:to>
    <xdr:sp macro="[0]!Mostrar_frmHojas" textlink="">
      <xdr:nvSpPr>
        <xdr:cNvPr id="2" name="Rectángulo: esquinas redondeadas 1">
          <a:extLst>
            <a:ext uri="{FF2B5EF4-FFF2-40B4-BE49-F238E27FC236}">
              <a16:creationId xmlns:a16="http://schemas.microsoft.com/office/drawing/2014/main" id="{FB673085-8938-4DF6-9B67-01263629893C}"/>
            </a:ext>
          </a:extLst>
        </xdr:cNvPr>
        <xdr:cNvSpPr/>
      </xdr:nvSpPr>
      <xdr:spPr>
        <a:xfrm>
          <a:off x="10315575" y="114300"/>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209550</xdr:colOff>
      <xdr:row>0</xdr:row>
      <xdr:rowOff>114300</xdr:rowOff>
    </xdr:from>
    <xdr:to>
      <xdr:col>2</xdr:col>
      <xdr:colOff>1733551</xdr:colOff>
      <xdr:row>2</xdr:row>
      <xdr:rowOff>19050</xdr:rowOff>
    </xdr:to>
    <xdr:sp macro="[0]!Mostrar_frmHojas" textlink="">
      <xdr:nvSpPr>
        <xdr:cNvPr id="2" name="Rectángulo: esquinas redondeadas 1">
          <a:extLst>
            <a:ext uri="{FF2B5EF4-FFF2-40B4-BE49-F238E27FC236}">
              <a16:creationId xmlns:a16="http://schemas.microsoft.com/office/drawing/2014/main" id="{33D51359-E659-4E6B-A4EC-B6F05710D2C3}"/>
            </a:ext>
          </a:extLst>
        </xdr:cNvPr>
        <xdr:cNvSpPr/>
      </xdr:nvSpPr>
      <xdr:spPr>
        <a:xfrm>
          <a:off x="3543300" y="114300"/>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6340929</xdr:colOff>
      <xdr:row>0</xdr:row>
      <xdr:rowOff>54429</xdr:rowOff>
    </xdr:from>
    <xdr:to>
      <xdr:col>1</xdr:col>
      <xdr:colOff>8164286</xdr:colOff>
      <xdr:row>5</xdr:row>
      <xdr:rowOff>108858</xdr:rowOff>
    </xdr:to>
    <xdr:sp macro="" textlink="">
      <xdr:nvSpPr>
        <xdr:cNvPr id="5" name="Flecha: a la derecha con muesca 4">
          <a:hlinkClick xmlns:r="http://schemas.openxmlformats.org/officeDocument/2006/relationships" r:id="rId1"/>
          <a:extLst>
            <a:ext uri="{FF2B5EF4-FFF2-40B4-BE49-F238E27FC236}">
              <a16:creationId xmlns:a16="http://schemas.microsoft.com/office/drawing/2014/main" id="{5DAFF116-62A1-4DA8-8E7F-8AC3C8BA47AD}"/>
            </a:ext>
          </a:extLst>
        </xdr:cNvPr>
        <xdr:cNvSpPr/>
      </xdr:nvSpPr>
      <xdr:spPr>
        <a:xfrm>
          <a:off x="6340929" y="54429"/>
          <a:ext cx="1823357" cy="938893"/>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6164036</xdr:colOff>
      <xdr:row>0</xdr:row>
      <xdr:rowOff>0</xdr:rowOff>
    </xdr:from>
    <xdr:to>
      <xdr:col>7</xdr:col>
      <xdr:colOff>1265465</xdr:colOff>
      <xdr:row>4</xdr:row>
      <xdr:rowOff>54429</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B01F23F7-81E4-4A41-81ED-4C6535A897D1}"/>
            </a:ext>
          </a:extLst>
        </xdr:cNvPr>
        <xdr:cNvSpPr/>
      </xdr:nvSpPr>
      <xdr:spPr>
        <a:xfrm>
          <a:off x="13198929" y="0"/>
          <a:ext cx="1823357" cy="938893"/>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5849471</xdr:colOff>
      <xdr:row>0</xdr:row>
      <xdr:rowOff>78442</xdr:rowOff>
    </xdr:from>
    <xdr:to>
      <xdr:col>2</xdr:col>
      <xdr:colOff>44824</xdr:colOff>
      <xdr:row>2</xdr:row>
      <xdr:rowOff>268942</xdr:rowOff>
    </xdr:to>
    <xdr:sp macro="" textlink="">
      <xdr:nvSpPr>
        <xdr:cNvPr id="5" name="Flecha: a la derecha con muesca 4">
          <a:hlinkClick xmlns:r="http://schemas.openxmlformats.org/officeDocument/2006/relationships" r:id="rId1"/>
          <a:extLst>
            <a:ext uri="{FF2B5EF4-FFF2-40B4-BE49-F238E27FC236}">
              <a16:creationId xmlns:a16="http://schemas.microsoft.com/office/drawing/2014/main" id="{5C9B10D5-B8EB-493C-AC70-FBF1F04399A8}"/>
            </a:ext>
          </a:extLst>
        </xdr:cNvPr>
        <xdr:cNvSpPr/>
      </xdr:nvSpPr>
      <xdr:spPr>
        <a:xfrm>
          <a:off x="6902824" y="78442"/>
          <a:ext cx="2577353" cy="549088"/>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5703794</xdr:colOff>
      <xdr:row>1</xdr:row>
      <xdr:rowOff>112059</xdr:rowOff>
    </xdr:from>
    <xdr:to>
      <xdr:col>1</xdr:col>
      <xdr:colOff>8281147</xdr:colOff>
      <xdr:row>4</xdr:row>
      <xdr:rowOff>119231</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86C5C982-EC85-4578-A583-F5315FC2D8FF}"/>
            </a:ext>
          </a:extLst>
        </xdr:cNvPr>
        <xdr:cNvSpPr/>
      </xdr:nvSpPr>
      <xdr:spPr>
        <a:xfrm>
          <a:off x="6062382" y="112059"/>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5551714</xdr:colOff>
      <xdr:row>2</xdr:row>
      <xdr:rowOff>95249</xdr:rowOff>
    </xdr:from>
    <xdr:to>
      <xdr:col>8</xdr:col>
      <xdr:colOff>19210</xdr:colOff>
      <xdr:row>4</xdr:row>
      <xdr:rowOff>134438</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0BC543CD-71CF-4EF1-B016-EC55CECFE220}"/>
            </a:ext>
          </a:extLst>
        </xdr:cNvPr>
        <xdr:cNvSpPr/>
      </xdr:nvSpPr>
      <xdr:spPr>
        <a:xfrm>
          <a:off x="12749893" y="449035"/>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163286</xdr:colOff>
      <xdr:row>2</xdr:row>
      <xdr:rowOff>136072</xdr:rowOff>
    </xdr:from>
    <xdr:to>
      <xdr:col>6</xdr:col>
      <xdr:colOff>1298282</xdr:colOff>
      <xdr:row>4</xdr:row>
      <xdr:rowOff>148046</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638A1C0D-8377-4240-ABB8-3B48F0FF2513}"/>
            </a:ext>
          </a:extLst>
        </xdr:cNvPr>
        <xdr:cNvSpPr/>
      </xdr:nvSpPr>
      <xdr:spPr>
        <a:xfrm>
          <a:off x="9320893" y="517072"/>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5715000</xdr:colOff>
      <xdr:row>3</xdr:row>
      <xdr:rowOff>22412</xdr:rowOff>
    </xdr:from>
    <xdr:to>
      <xdr:col>1</xdr:col>
      <xdr:colOff>8292353</xdr:colOff>
      <xdr:row>6</xdr:row>
      <xdr:rowOff>29584</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D197B949-6A56-4FC5-BB79-F409024EF519}"/>
            </a:ext>
          </a:extLst>
        </xdr:cNvPr>
        <xdr:cNvSpPr/>
      </xdr:nvSpPr>
      <xdr:spPr>
        <a:xfrm>
          <a:off x="6006353" y="57150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5429249</xdr:colOff>
      <xdr:row>0</xdr:row>
      <xdr:rowOff>0</xdr:rowOff>
    </xdr:from>
    <xdr:to>
      <xdr:col>7</xdr:col>
      <xdr:colOff>1284673</xdr:colOff>
      <xdr:row>2</xdr:row>
      <xdr:rowOff>202474</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D661FD41-D6ED-4D50-8ED1-B4AED4B9DEAF}"/>
            </a:ext>
          </a:extLst>
        </xdr:cNvPr>
        <xdr:cNvSpPr/>
      </xdr:nvSpPr>
      <xdr:spPr>
        <a:xfrm>
          <a:off x="12885963"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176894</xdr:colOff>
      <xdr:row>0</xdr:row>
      <xdr:rowOff>0</xdr:rowOff>
    </xdr:from>
    <xdr:to>
      <xdr:col>6</xdr:col>
      <xdr:colOff>1311890</xdr:colOff>
      <xdr:row>2</xdr:row>
      <xdr:rowOff>13607</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FC62A60A-0D81-4D08-A713-6A445C31B142}"/>
            </a:ext>
          </a:extLst>
        </xdr:cNvPr>
        <xdr:cNvSpPr/>
      </xdr:nvSpPr>
      <xdr:spPr>
        <a:xfrm>
          <a:off x="9334501" y="0"/>
          <a:ext cx="2577353" cy="394607"/>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5782236</xdr:colOff>
      <xdr:row>0</xdr:row>
      <xdr:rowOff>11206</xdr:rowOff>
    </xdr:from>
    <xdr:to>
      <xdr:col>1</xdr:col>
      <xdr:colOff>8359589</xdr:colOff>
      <xdr:row>1</xdr:row>
      <xdr:rowOff>321235</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6BF0AEE7-A2F2-4041-A4CC-F472B76B5C29}"/>
            </a:ext>
          </a:extLst>
        </xdr:cNvPr>
        <xdr:cNvSpPr/>
      </xdr:nvSpPr>
      <xdr:spPr>
        <a:xfrm>
          <a:off x="7283824" y="11206"/>
          <a:ext cx="2577353" cy="489323"/>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5415644</xdr:colOff>
      <xdr:row>0</xdr:row>
      <xdr:rowOff>0</xdr:rowOff>
    </xdr:from>
    <xdr:to>
      <xdr:col>7</xdr:col>
      <xdr:colOff>1271068</xdr:colOff>
      <xdr:row>2</xdr:row>
      <xdr:rowOff>202474</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939B2569-7277-4B8C-9FD8-273DC4C4E237}"/>
            </a:ext>
          </a:extLst>
        </xdr:cNvPr>
        <xdr:cNvSpPr/>
      </xdr:nvSpPr>
      <xdr:spPr>
        <a:xfrm>
          <a:off x="12654644"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257735</xdr:colOff>
      <xdr:row>0</xdr:row>
      <xdr:rowOff>0</xdr:rowOff>
    </xdr:from>
    <xdr:to>
      <xdr:col>7</xdr:col>
      <xdr:colOff>22411</xdr:colOff>
      <xdr:row>2</xdr:row>
      <xdr:rowOff>175260</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7CB73B9A-858B-4224-9D50-0DED1719593E}"/>
            </a:ext>
          </a:extLst>
        </xdr:cNvPr>
        <xdr:cNvSpPr/>
      </xdr:nvSpPr>
      <xdr:spPr>
        <a:xfrm>
          <a:off x="9849970"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5793441</xdr:colOff>
      <xdr:row>0</xdr:row>
      <xdr:rowOff>33618</xdr:rowOff>
    </xdr:from>
    <xdr:to>
      <xdr:col>1</xdr:col>
      <xdr:colOff>8370794</xdr:colOff>
      <xdr:row>3</xdr:row>
      <xdr:rowOff>51996</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58FF4A05-65D7-46DC-913B-995FAC6FAD71}"/>
            </a:ext>
          </a:extLst>
        </xdr:cNvPr>
        <xdr:cNvSpPr/>
      </xdr:nvSpPr>
      <xdr:spPr>
        <a:xfrm>
          <a:off x="6443382" y="33618"/>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5442857</xdr:colOff>
      <xdr:row>0</xdr:row>
      <xdr:rowOff>0</xdr:rowOff>
    </xdr:from>
    <xdr:to>
      <xdr:col>7</xdr:col>
      <xdr:colOff>1298282</xdr:colOff>
      <xdr:row>2</xdr:row>
      <xdr:rowOff>202474</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BF5A0283-6305-4053-86D6-7EE4FCA30579}"/>
            </a:ext>
          </a:extLst>
        </xdr:cNvPr>
        <xdr:cNvSpPr/>
      </xdr:nvSpPr>
      <xdr:spPr>
        <a:xfrm>
          <a:off x="13403036"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6871608</xdr:colOff>
      <xdr:row>0</xdr:row>
      <xdr:rowOff>0</xdr:rowOff>
    </xdr:from>
    <xdr:to>
      <xdr:col>5</xdr:col>
      <xdr:colOff>672353</xdr:colOff>
      <xdr:row>2</xdr:row>
      <xdr:rowOff>188867</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C6292CEB-ED23-48FA-8050-4DEB486CECD4}"/>
            </a:ext>
          </a:extLst>
        </xdr:cNvPr>
        <xdr:cNvSpPr/>
      </xdr:nvSpPr>
      <xdr:spPr>
        <a:xfrm>
          <a:off x="8245929"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5849471</xdr:colOff>
      <xdr:row>0</xdr:row>
      <xdr:rowOff>0</xdr:rowOff>
    </xdr:from>
    <xdr:to>
      <xdr:col>2</xdr:col>
      <xdr:colOff>44824</xdr:colOff>
      <xdr:row>3</xdr:row>
      <xdr:rowOff>7172</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36DF5F94-9512-4284-B093-586D44FC270D}"/>
            </a:ext>
          </a:extLst>
        </xdr:cNvPr>
        <xdr:cNvSpPr/>
      </xdr:nvSpPr>
      <xdr:spPr>
        <a:xfrm>
          <a:off x="7295030"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5849471</xdr:colOff>
      <xdr:row>0</xdr:row>
      <xdr:rowOff>0</xdr:rowOff>
    </xdr:from>
    <xdr:to>
      <xdr:col>2</xdr:col>
      <xdr:colOff>44824</xdr:colOff>
      <xdr:row>3</xdr:row>
      <xdr:rowOff>7172</xdr:rowOff>
    </xdr:to>
    <xdr:sp macro="" textlink="">
      <xdr:nvSpPr>
        <xdr:cNvPr id="2" name="Flecha: a la derecha con muesca 1">
          <a:hlinkClick xmlns:r="http://schemas.openxmlformats.org/officeDocument/2006/relationships" r:id="rId1"/>
          <a:extLst>
            <a:ext uri="{FF2B5EF4-FFF2-40B4-BE49-F238E27FC236}">
              <a16:creationId xmlns:a16="http://schemas.microsoft.com/office/drawing/2014/main" id="{219A72ED-3565-4A43-895F-03CB984F71FD}"/>
            </a:ext>
          </a:extLst>
        </xdr:cNvPr>
        <xdr:cNvSpPr/>
      </xdr:nvSpPr>
      <xdr:spPr>
        <a:xfrm>
          <a:off x="7327751" y="0"/>
          <a:ext cx="2805953" cy="540572"/>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twoCellAnchor>
    <xdr:from>
      <xdr:col>0</xdr:col>
      <xdr:colOff>555812</xdr:colOff>
      <xdr:row>25</xdr:row>
      <xdr:rowOff>174812</xdr:rowOff>
    </xdr:from>
    <xdr:to>
      <xdr:col>0</xdr:col>
      <xdr:colOff>1371600</xdr:colOff>
      <xdr:row>44</xdr:row>
      <xdr:rowOff>98611</xdr:rowOff>
    </xdr:to>
    <xdr:cxnSp macro="">
      <xdr:nvCxnSpPr>
        <xdr:cNvPr id="4" name="Conector recto de flecha 3">
          <a:extLst>
            <a:ext uri="{FF2B5EF4-FFF2-40B4-BE49-F238E27FC236}">
              <a16:creationId xmlns:a16="http://schemas.microsoft.com/office/drawing/2014/main" id="{4E91AC5E-EB0B-4D65-A490-29A2E31DC4C0}"/>
            </a:ext>
          </a:extLst>
        </xdr:cNvPr>
        <xdr:cNvCxnSpPr>
          <a:stCxn id="6" idx="1"/>
        </xdr:cNvCxnSpPr>
      </xdr:nvCxnSpPr>
      <xdr:spPr>
        <a:xfrm flipH="1">
          <a:off x="555812" y="5006788"/>
          <a:ext cx="815788" cy="33303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1371600</xdr:colOff>
      <xdr:row>23</xdr:row>
      <xdr:rowOff>26894</xdr:rowOff>
    </xdr:from>
    <xdr:to>
      <xdr:col>1</xdr:col>
      <xdr:colOff>215153</xdr:colOff>
      <xdr:row>28</xdr:row>
      <xdr:rowOff>143435</xdr:rowOff>
    </xdr:to>
    <xdr:sp macro="" textlink="">
      <xdr:nvSpPr>
        <xdr:cNvPr id="6" name="Abrir llave 5">
          <a:extLst>
            <a:ext uri="{FF2B5EF4-FFF2-40B4-BE49-F238E27FC236}">
              <a16:creationId xmlns:a16="http://schemas.microsoft.com/office/drawing/2014/main" id="{639D2843-194E-F022-E328-3EBE9D7033CE}"/>
            </a:ext>
          </a:extLst>
        </xdr:cNvPr>
        <xdr:cNvSpPr/>
      </xdr:nvSpPr>
      <xdr:spPr>
        <a:xfrm>
          <a:off x="1371600" y="4500282"/>
          <a:ext cx="322729" cy="1013012"/>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R" sz="11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5538106</xdr:colOff>
      <xdr:row>1</xdr:row>
      <xdr:rowOff>13607</xdr:rowOff>
    </xdr:from>
    <xdr:to>
      <xdr:col>8</xdr:col>
      <xdr:colOff>5602</xdr:colOff>
      <xdr:row>3</xdr:row>
      <xdr:rowOff>52796</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86FC950F-ECE5-40F9-8FE0-2E1EBA9096B5}"/>
            </a:ext>
          </a:extLst>
        </xdr:cNvPr>
        <xdr:cNvSpPr/>
      </xdr:nvSpPr>
      <xdr:spPr>
        <a:xfrm>
          <a:off x="13498285" y="19050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5538106</xdr:colOff>
      <xdr:row>1</xdr:row>
      <xdr:rowOff>13607</xdr:rowOff>
    </xdr:from>
    <xdr:to>
      <xdr:col>8</xdr:col>
      <xdr:colOff>5602</xdr:colOff>
      <xdr:row>3</xdr:row>
      <xdr:rowOff>52796</xdr:rowOff>
    </xdr:to>
    <xdr:sp macro="" textlink="">
      <xdr:nvSpPr>
        <xdr:cNvPr id="2" name="Flecha: a la derecha con muesca 1">
          <a:hlinkClick xmlns:r="http://schemas.openxmlformats.org/officeDocument/2006/relationships" r:id="rId1"/>
          <a:extLst>
            <a:ext uri="{FF2B5EF4-FFF2-40B4-BE49-F238E27FC236}">
              <a16:creationId xmlns:a16="http://schemas.microsoft.com/office/drawing/2014/main" id="{80FAB283-B2BA-4FD4-BF3A-982F28EAE024}"/>
            </a:ext>
          </a:extLst>
        </xdr:cNvPr>
        <xdr:cNvSpPr/>
      </xdr:nvSpPr>
      <xdr:spPr>
        <a:xfrm>
          <a:off x="13782946" y="188867"/>
          <a:ext cx="3992496" cy="534489"/>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3</xdr:col>
      <xdr:colOff>7021286</xdr:colOff>
      <xdr:row>0</xdr:row>
      <xdr:rowOff>0</xdr:rowOff>
    </xdr:from>
    <xdr:to>
      <xdr:col>6</xdr:col>
      <xdr:colOff>100853</xdr:colOff>
      <xdr:row>2</xdr:row>
      <xdr:rowOff>175260</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41288464-E1CA-4ADD-BE84-4ECE4EDCCAA1}"/>
            </a:ext>
          </a:extLst>
        </xdr:cNvPr>
        <xdr:cNvSpPr/>
      </xdr:nvSpPr>
      <xdr:spPr>
        <a:xfrm>
          <a:off x="8844643"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xdr:col>
      <xdr:colOff>5851072</xdr:colOff>
      <xdr:row>0</xdr:row>
      <xdr:rowOff>0</xdr:rowOff>
    </xdr:from>
    <xdr:to>
      <xdr:col>2</xdr:col>
      <xdr:colOff>46425</xdr:colOff>
      <xdr:row>3</xdr:row>
      <xdr:rowOff>11974</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01F462DE-3A63-423B-9B21-44DCDF3A0304}"/>
            </a:ext>
          </a:extLst>
        </xdr:cNvPr>
        <xdr:cNvSpPr/>
      </xdr:nvSpPr>
      <xdr:spPr>
        <a:xfrm>
          <a:off x="7293429"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7</xdr:col>
      <xdr:colOff>163286</xdr:colOff>
      <xdr:row>0</xdr:row>
      <xdr:rowOff>163286</xdr:rowOff>
    </xdr:from>
    <xdr:to>
      <xdr:col>8</xdr:col>
      <xdr:colOff>1352710</xdr:colOff>
      <xdr:row>3</xdr:row>
      <xdr:rowOff>39189</xdr:rowOff>
    </xdr:to>
    <xdr:sp macro="" textlink="">
      <xdr:nvSpPr>
        <xdr:cNvPr id="3" name="Flecha: a la derecha con muesca 2">
          <a:hlinkClick xmlns:r="http://schemas.openxmlformats.org/officeDocument/2006/relationships" r:id="rId1"/>
          <a:extLst>
            <a:ext uri="{FF2B5EF4-FFF2-40B4-BE49-F238E27FC236}">
              <a16:creationId xmlns:a16="http://schemas.microsoft.com/office/drawing/2014/main" id="{8F44BB85-94C8-45A6-A616-22D84CDC3BD7}"/>
            </a:ext>
          </a:extLst>
        </xdr:cNvPr>
        <xdr:cNvSpPr/>
      </xdr:nvSpPr>
      <xdr:spPr>
        <a:xfrm>
          <a:off x="14845393" y="163286"/>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204108</xdr:colOff>
      <xdr:row>0</xdr:row>
      <xdr:rowOff>0</xdr:rowOff>
    </xdr:from>
    <xdr:to>
      <xdr:col>6</xdr:col>
      <xdr:colOff>1339103</xdr:colOff>
      <xdr:row>2</xdr:row>
      <xdr:rowOff>202474</xdr:rowOff>
    </xdr:to>
    <xdr:sp macro="" textlink="">
      <xdr:nvSpPr>
        <xdr:cNvPr id="2" name="Flecha: a la derecha con muesca 1">
          <a:hlinkClick xmlns:r="http://schemas.openxmlformats.org/officeDocument/2006/relationships" r:id="rId1"/>
          <a:extLst>
            <a:ext uri="{FF2B5EF4-FFF2-40B4-BE49-F238E27FC236}">
              <a16:creationId xmlns:a16="http://schemas.microsoft.com/office/drawing/2014/main" id="{E0A274E0-8FA2-49D6-A762-858AB47D6479}"/>
            </a:ext>
          </a:extLst>
        </xdr:cNvPr>
        <xdr:cNvSpPr/>
      </xdr:nvSpPr>
      <xdr:spPr>
        <a:xfrm>
          <a:off x="10186308" y="0"/>
          <a:ext cx="2582795" cy="552994"/>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3</xdr:col>
      <xdr:colOff>204108</xdr:colOff>
      <xdr:row>0</xdr:row>
      <xdr:rowOff>0</xdr:rowOff>
    </xdr:from>
    <xdr:to>
      <xdr:col>5</xdr:col>
      <xdr:colOff>1339103</xdr:colOff>
      <xdr:row>2</xdr:row>
      <xdr:rowOff>202474</xdr:rowOff>
    </xdr:to>
    <xdr:sp macro="" textlink="">
      <xdr:nvSpPr>
        <xdr:cNvPr id="4" name="Flecha: a la derecha con muesca 3">
          <a:hlinkClick xmlns:r="http://schemas.openxmlformats.org/officeDocument/2006/relationships" r:id="rId1"/>
          <a:extLst>
            <a:ext uri="{FF2B5EF4-FFF2-40B4-BE49-F238E27FC236}">
              <a16:creationId xmlns:a16="http://schemas.microsoft.com/office/drawing/2014/main" id="{914464E2-9669-4638-A0B0-F246B260C519}"/>
            </a:ext>
          </a:extLst>
        </xdr:cNvPr>
        <xdr:cNvSpPr/>
      </xdr:nvSpPr>
      <xdr:spPr>
        <a:xfrm>
          <a:off x="9579429" y="0"/>
          <a:ext cx="2577353" cy="55626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a:t>Regresar a hoja Indice</a:t>
          </a:r>
          <a:r>
            <a:rPr lang="es-CR" sz="1100" baseline="0"/>
            <a:t> Archivos</a:t>
          </a:r>
          <a:endParaRPr lang="es-CR" sz="1100"/>
        </a:p>
      </xdr:txBody>
    </xdr:sp>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bccr.sharepoint.com/sites/SUGEF-InformacionCreditoGarantias/Shared%20Documents/Dcto.%20SICVECA%20modif.%20sgda.%20version/01_Documento_descarg_23%20nov%202022/Revisi&#243;n%20para%20publicar/Manual_Operaciones_Credito_CONASSIF_14_2021_V3%20(descarg%2023%20nov%202022).xlsm?B491AA66" TargetMode="External"/><Relationship Id="rId1" Type="http://schemas.openxmlformats.org/officeDocument/2006/relationships/externalLinkPath" Target="file:///\\B491AA66\Manual_Operaciones_Credito_CONASSIF_14_2021_V3%20(descarg%2023%20nov%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arios. revisión para publ"/>
      <sheetName val="INDICE_inventario"/>
      <sheetName val="TABLAS"/>
      <sheetName val="Codigos_desplega"/>
      <sheetName val="aspectos a considerar para camb"/>
      <sheetName val="Indice Archivos"/>
      <sheetName val="Control de cambios, v1"/>
      <sheetName val="BITACORA"/>
      <sheetName val="Listas"/>
      <sheetName val="PROV CAN DIST"/>
      <sheetName val="AE"/>
      <sheetName val="OBSERVACIONES"/>
      <sheetName val="EjemplosProduccion"/>
      <sheetName val="Tabla_Tipo_Mitigador"/>
      <sheetName val="Tabla_Tipo_Mitigador (origi)"/>
      <sheetName val="Tabla_Entidades sector público"/>
      <sheetName val="Tabla_Entidad_Autorizada_SBD"/>
      <sheetName val="Tablas Provinc. Cantón Distrito"/>
      <sheetName val="Tipo_Operador_SBD"/>
      <sheetName val="Entidad en revisión"/>
      <sheetName val="CATEGORIA_RIESGO"/>
      <sheetName val="TIPO_MONEDA"/>
      <sheetName val="EQUIV_CALIF_AGENCIA_CALIFICADOR"/>
      <sheetName val="TASA_INCUMPLIMIENTO"/>
      <sheetName val="TIPO_COLATERAL_REAL"/>
      <sheetName val="TIPO_COLATERAL_FINANCIERO"/>
      <sheetName val="1_GENERALIDADES"/>
      <sheetName val="1_GENERALIDADES XML"/>
      <sheetName val="1_GENERALIDADES CAMPOS"/>
      <sheetName val="1_GENERALIDADES VALIDACIONES"/>
      <sheetName val="5101__DEUDORES_ESTRUCTURA"/>
      <sheetName val="5101_DEUDORES_DESCRIPCION"/>
      <sheetName val="5101_DEUDORES_VALIDACIONES"/>
      <sheetName val="5102_INGRESO_DEUDORES_ESTRUCT"/>
      <sheetName val="5102_INGRESO_DEUDORES_DESCRIP"/>
      <sheetName val="5102_INGRESO_DEUDORES_VALIDACI"/>
      <sheetName val="5103_OPERACIONES_ESTRUCTURA"/>
      <sheetName val="4_OPE_ESTRUCTURA_vrs 28 jul"/>
      <sheetName val="5103_OPERACIONES_DESCRIPCION"/>
      <sheetName val="5103_OPERACIONES_VALIDACIO"/>
      <sheetName val="4_OPERACIONES_VALIDACIONES(ante"/>
      <sheetName val="5104_ORIGEN RECURSOS ESTRUCTURA"/>
      <sheetName val="5104_ORIGEN_RECURSOS_DESCRIPC"/>
      <sheetName val="5104_ORIGEN_RECURSOS_VALIDACI"/>
      <sheetName val="5105_ACTIVIDAD_ECONOMICA_ESTRUC"/>
      <sheetName val="5105_ACTIVIDAD_ECONOMICA_DESCRI"/>
      <sheetName val="5105_ACTIVIDAD ECONOMICA_VALID"/>
      <sheetName val="5106_NATURALEZA GASTO_ESTRUC"/>
      <sheetName val="5106_NATURALEZA_GASTO_DESCRIPCI"/>
      <sheetName val="5106_NATURALEZA_GASTO_VALIDACI"/>
      <sheetName val="5107_CUENTAS POR COBRAR_ESTRUC"/>
      <sheetName val="5107_CUENTAS_COBRAR_DESCRIPCI"/>
      <sheetName val="5107_CUENTAS_COBRAR_VALIDACI"/>
      <sheetName val="5108_CREDITOS SINDICADOS_ESTRUC"/>
      <sheetName val="5108_CREDITO_SINDICADO_DESCRIP"/>
      <sheetName val="5108_CREDITO_SINDICADO_VALIDACI"/>
      <sheetName val="5109_CODEUDORES_ESTRUCT"/>
      <sheetName val="5109_CODEUDORES_DESCRIP"/>
      <sheetName val="5109_CODEUDORES_VALIDACI"/>
      <sheetName val="5110_MODIFICACIONES ESTRUC"/>
      <sheetName val="5110_MODIFICACIONES_DESCRIPCI"/>
      <sheetName val="5110_MODIFICACIONES_VALIDACI"/>
      <sheetName val="5111_COMPRADAS_ESTRUCTURA"/>
      <sheetName val="5111_COMPRADAS_DESCRIPCIONES"/>
      <sheetName val="5111_COMPRADAS_VALIDACIONES"/>
      <sheetName val="5112_CAMBIO CLIMATICO ESTRUCTU"/>
      <sheetName val="5112_CAMBIO_CLIMATICO_VALIDACI"/>
      <sheetName val="5112_CAMBIO_CLIMATICO_DESCRIPCI"/>
      <sheetName val="5113_GARANTIAS OPERACIONES ESTR"/>
      <sheetName val="5113_GARANTIAS_OPERACIONES_DESC"/>
      <sheetName val="13_Garantias Operac Validacio"/>
      <sheetName val="5113_GARANTIA_OPERACIONES_VALI"/>
      <sheetName val="5114 OPE_BIENES REALIZA_ESTRUCT"/>
      <sheetName val="5114 OPE_BIENES_REALIZA_DESCR"/>
      <sheetName val="5114 OPE_BIENES_REALIZA_VALID"/>
      <sheetName val="5115_FIDEICOMISOS_ESTRUCTURA"/>
      <sheetName val="5115_FIDEICOMISOS_DESCRIPCIONES"/>
      <sheetName val="5115_FIDEICOMISOS_VALIDACIONES"/>
      <sheetName val="5116_BIEN REALIZ NO REPO ESTRUC"/>
      <sheetName val="5116_BIEN REALIZ NO REPO DESCRI"/>
      <sheetName val="5116_BIEN REALIZ NO REPO VALIDA"/>
      <sheetName val="5117_BIEN REALIZ ESTRUC"/>
      <sheetName val="5117_BIENE REALIZAB DESCRIP"/>
      <sheetName val="5117_BIEN REALIZAB VALIDAC"/>
      <sheetName val="5118_GRAVAMENES_ESTRUCTU"/>
      <sheetName val="5118_GRAVAMENES_DESCRIPCIONES"/>
      <sheetName val="5118_GRAVAMENES_VALIDACIONES"/>
      <sheetName val="5119_CxC NO ASOCIADAS ESTRUCTU"/>
      <sheetName val="5119_CxC NO ASOCIADAS DESCRIPC"/>
      <sheetName val="5119_CxC NO ASOCIADAS VALIDAC"/>
      <sheetName val="5120_CUOTAS ATRASADAS ESTRUCT"/>
      <sheetName val="5120_CUOTAS ATRASADAS DESCRIP"/>
      <sheetName val="5120_CUOTAS ATRASADAS VALIDACI"/>
      <sheetName val="5121_NO_REPORTADAS_ESTRUCTURA"/>
      <sheetName val="5121_NO_REPORTADAS_DESCRIPCION"/>
      <sheetName val="5121_NO_REPORTADAS_VALIDACION"/>
      <sheetName val="5122_GARAtia_Mobiliaria_Estruct"/>
      <sheetName val="5122_No.Gtia_Mobiliara_Descrip"/>
      <sheetName val="5122_NO.Gtia_Mobiliaria_Validac"/>
      <sheetName val="Manual_Operaciones_Credito_CON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refreshError="1"/>
      <sheetData sheetId="87" refreshError="1"/>
      <sheetData sheetId="88"/>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persons/person.xml><?xml version="1.0" encoding="utf-8"?>
<personList xmlns="http://schemas.microsoft.com/office/spreadsheetml/2018/threadedcomments" xmlns:x="http://schemas.openxmlformats.org/spreadsheetml/2006/main">
  <person displayName="EDDY GERARDO NUÑEZ SALAZAR" id="{57D504EA-B852-4DCC-89C6-7AA9775C3B5E}" userId="NUNEZSE@bccr.fi.cr" providerId="PeoplePicker"/>
  <person displayName="ARCE LOAIZA LEONEL" id="{129EB540-E4CE-4953-97A9-CDEA5AD706C1}" userId="arcell@sugef.fi.cr" providerId="PeoplePicker"/>
  <person displayName="CARLOS ALBERTO FERNANDEZ ROJAS" id="{1F8AB65F-9830-45BF-B957-DBF26FB874B4}" userId="FERNANDEZRC@bccr.fi.cr" providerId="PeoplePicker"/>
  <person displayName="ARCE LOAIZA LEONEL" id="{9F1FE821-D3F6-47CE-8D75-445D785FDEE0}" userId="S::arcell@sugef.fi.cr::c03f53f4-f951-4629-9587-d67e7755846c" providerId="AD"/>
  <person displayName="MARIN QUESADA BRYAN ALBERTO" id="{78C02E47-D38E-4B9C-A1D9-220D59057EC9}" userId="S::marinqb@bccr.fi.cr::51cf11de-0ddd-455b-8700-9fd07cd87f4c" providerId="AD"/>
  <person displayName="SANCHEZ CERDAS RODOLFO" id="{200BDDEC-BC6D-4B96-AD55-51B6545E53E2}" userId="S::sanchezcr@sugef.fi.cr::bb185075-ea12-4013-9ff4-bbcad7518b4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2F46AEC-5E12-4773-B7D0-748AD52F045B}" name="CATALOGO_TABLAS" displayName="CATALOGO_TABLAS" ref="B5:F1920" totalsRowShown="0" headerRowDxfId="148" dataDxfId="147">
  <autoFilter ref="B5:F1920" xr:uid="{762685F7-95C2-4330-8CC7-9FD5395A9F14}"/>
  <tableColumns count="5">
    <tableColumn id="1" xr3:uid="{C5C37B17-2145-45B3-A886-81F0A23061B9}" name="TABLA" dataDxfId="146"/>
    <tableColumn id="2" xr3:uid="{E4D67D19-21B0-436C-B283-0DF8332D2D03}" name="CODIGO" dataDxfId="145"/>
    <tableColumn id="3" xr3:uid="{E4853917-36D9-4964-A0B0-78063B4D8E9A}" name="DESCRIPCION" dataDxfId="144"/>
    <tableColumn id="4" xr3:uid="{B0CB256F-E7DC-4771-A634-A264BCC0C8CD}" name="ACTIVO" dataDxfId="143"/>
    <tableColumn id="5" xr3:uid="{C3511911-5B9D-479E-BC6D-7AA34ABC9E3B}" name="OBSERVACIONES" dataDxfId="142"/>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EA95E4D-DBA9-43FE-9106-D71AB6E80145}" name="TIPO_MONEDA" displayName="TIPO_MONEDA" ref="A1:G184" totalsRowShown="0" headerRowDxfId="141" dataDxfId="140">
  <autoFilter ref="A1:G184" xr:uid="{2C0AA0FF-FF6D-4789-97F9-7EC321F914B2}"/>
  <tableColumns count="7">
    <tableColumn id="1" xr3:uid="{3931C5BE-11C9-43AA-843B-4FB722D77089}" name="C TIPO MONEDA" dataDxfId="139"/>
    <tableColumn id="2" xr3:uid="{E2EDCC6F-A03F-4965-B33A-851C343C8FCC}" name="NOMBRE TIPO MONEDA" dataDxfId="138"/>
    <tableColumn id="3" xr3:uid="{5AC39A0C-E286-45E0-B604-DC3BA9D81AB5}" name="ES NACIONAL" dataDxfId="137"/>
    <tableColumn id="4" xr3:uid="{1150CFD0-039C-4B8E-AA68-5757CE66EFF9}" name="ES ACTIVO" dataDxfId="136"/>
    <tableColumn id="5" xr3:uid="{6762FE3B-BBE9-4F19-8779-07150E2FF3EB}" name="ALIAS" dataDxfId="135"/>
    <tableColumn id="6" xr3:uid="{6E8A10E2-05D0-4970-ACFA-484855E2F146}" name="CODIGO ISO" dataDxfId="134"/>
    <tableColumn id="7" xr3:uid="{A07FB042-8418-41AC-ACFC-993C9119ADC6}" name="DESCRIPCION COMPLETA" dataDxfId="13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9D8332-3AB0-4916-A7A1-0BDE5EE6CDDF}" name="N01_Generalidades_Campos" displayName="N01_Generalidades_Campos" ref="B5:H13" totalsRowShown="0" headerRowDxfId="132" dataDxfId="131">
  <autoFilter ref="B5:H13" xr:uid="{5A46F208-ABE4-417F-AE73-3CF45826E8CD}"/>
  <tableColumns count="7">
    <tableColumn id="1" xr3:uid="{114C059E-A6D1-4D08-958D-6AC8073E90DC}" name="NOMBRE  DEL TAG" dataDxfId="130"/>
    <tableColumn id="2" xr3:uid="{0FE69D30-0522-41BB-9795-DDAF9125BEBD}" name="TIPO DATO" dataDxfId="129"/>
    <tableColumn id="3" xr3:uid="{8D24F0E3-6749-44DF-AD7A-81A11DBFF5BE}" name="TAMAÑO FORMATO" dataDxfId="128"/>
    <tableColumn id="4" xr3:uid="{06613650-2466-42D9-92FE-AFAB278F906D}" name="ESTADO" dataDxfId="127"/>
    <tableColumn id="5" xr3:uid="{2E706522-8D85-43C4-9302-03B06CD4388E}" name="OBLIGATORIO" dataDxfId="126"/>
    <tableColumn id="6" xr3:uid="{8EB1F5B7-4886-4B2A-B9EF-D27938DF2F04}" name="DESCRIPCIÓN" dataDxfId="125"/>
    <tableColumn id="8" xr3:uid="{10EF4B3E-4832-4C0F-83E7-DE6743E7D9D7}" name="TABLA CATALOGO ASOCIADA" dataDxfId="124"/>
  </tableColumns>
  <tableStyleInfo name="TableStyleLight8"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D0791B-1475-4269-B16E-E120AB8F9B35}" name="N01_Generalidades_Validaciones" displayName="N01_Generalidades_Validaciones" ref="B3:B20" headerRowDxfId="123" dataDxfId="121" totalsRowDxfId="120" headerRowBorderDxfId="122">
  <autoFilter ref="B3:B20" xr:uid="{8632E484-DC79-4273-BBD8-254C5A91FA6D}"/>
  <tableColumns count="1">
    <tableColumn id="1" xr3:uid="{9FA3ACBB-6427-4B79-B8F3-B997B28A632D}" name="VALIDACIONES GENERALES PARA EL ARCHIVO DE LA CLASE DE DATOS DE GARANTIAS." totalsRowFunction="count" dataDxfId="119" totalsRowDxfId="118"/>
  </tableColumns>
  <tableStyleInfo name="TableStyleLight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C165DBB-B922-4E11-B4CD-418E0B125561}" name="Tabla15" displayName="Tabla15" ref="B5:H15" totalsRowShown="0" headerRowDxfId="117" dataDxfId="116">
  <autoFilter ref="B5:H15" xr:uid="{6DF2F589-64CC-4FD0-9ECD-3A9875CF030D}"/>
  <tableColumns count="7">
    <tableColumn id="1" xr3:uid="{1E37B893-D0E4-4C0E-B57F-0C6B1380DA33}" name="NOMBRE DEL TAG" dataDxfId="115"/>
    <tableColumn id="2" xr3:uid="{075910AB-5DF4-40C8-8F34-A8D05CAA7F46}" name="TIPO DATO" dataDxfId="114"/>
    <tableColumn id="3" xr3:uid="{E4AE4B74-8CFB-42D3-91F9-BBB2ED095628}" name="TAMAÑO FORMATO" dataDxfId="113"/>
    <tableColumn id="4" xr3:uid="{D0F32705-E4AE-4419-A1F8-D1AF8F30C606}" name="ESTADO" dataDxfId="112"/>
    <tableColumn id="5" xr3:uid="{3B7AF110-D9F1-4DF3-8042-CDE9F1461334}" name="OBLIGATORIO" dataDxfId="111"/>
    <tableColumn id="6" xr3:uid="{4135D84F-BBDF-4E4A-B1A4-9BD9E5D891C3}" name="DESCRIPCIÓN" dataDxfId="110"/>
    <tableColumn id="7" xr3:uid="{EA77E208-F747-421F-9534-B0C3A67D1A29}" name="TABLA CATALOGO ASOCIADA" dataDxfId="109"/>
  </tableColumns>
  <tableStyleInfo name="TableStyleLight8" showFirstColumn="0"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35B4194-02FC-4489-983F-46451833CCF7}" name="Tabla16" displayName="Tabla16" ref="C5:G16" totalsRowShown="0" headerRowDxfId="108" dataDxfId="107">
  <autoFilter ref="C5:G16" xr:uid="{42FE585B-77C4-44EE-837C-905396BAC264}"/>
  <tableColumns count="5">
    <tableColumn id="1" xr3:uid="{88747BC9-3D2B-46FF-8899-26BDF026008B}" name="#" dataDxfId="106"/>
    <tableColumn id="2" xr3:uid="{74A96C95-861C-4CD0-A245-6656D57B946F}" name="Descripción de la validación" dataDxfId="105"/>
    <tableColumn id="3" xr3:uid="{9FFCB689-7B22-4F4C-B3B1-E9525E9A7076}" name="N# 1.16" dataDxfId="104"/>
    <tableColumn id="4" xr3:uid="{83681EBF-191E-42DA-9F8F-CF186D050A6C}" name="# T.I" dataDxfId="103"/>
    <tableColumn id="5" xr3:uid="{81258203-7DAC-46D2-A525-DB1924073406}" name="Cambio realizado" dataDxfId="102"/>
  </tableColumns>
  <tableStyleInfo name="TableStyleLight8"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5B8E6D-FAAF-4FBF-8021-9B130BE0AA1B}" name="Tabla9" displayName="Tabla9" ref="B5:H17" totalsRowShown="0" headerRowDxfId="101" dataDxfId="100">
  <autoFilter ref="B5:H17" xr:uid="{90616B8B-4A96-42BB-A345-03BB3C866AB8}"/>
  <tableColumns count="7">
    <tableColumn id="1" xr3:uid="{5BBB125F-DE80-4C95-8B62-3A688DE9D6C9}" name="NOMBRE DEL TAG" dataDxfId="99"/>
    <tableColumn id="2" xr3:uid="{08DD5BE7-136A-4FCC-9E4A-806A09B8C273}" name="TIPO DATO" dataDxfId="98"/>
    <tableColumn id="3" xr3:uid="{945074F0-FE7F-4F88-B5B7-D00D3F0D0336}" name="TAMAÑO FORMATO" dataDxfId="97"/>
    <tableColumn id="4" xr3:uid="{D5065C86-9624-41FF-8494-F25789872702}" name="ESTADO" dataDxfId="96"/>
    <tableColumn id="5" xr3:uid="{393D2197-66A6-4A4A-8DF6-8CFC15D9BA1E}" name="OBLIGATORIO" dataDxfId="95"/>
    <tableColumn id="6" xr3:uid="{AD78D853-3CEE-4755-910A-03EC931B00F5}" name="DESCRIPCIÓN" dataDxfId="94"/>
    <tableColumn id="7" xr3:uid="{CFD86221-6D94-43E7-8563-089AA4DE217C}" name="TABLA CATALOGO ASOCIADA" dataDxfId="93"/>
  </tableColumns>
  <tableStyleInfo name="TableStyleLight8"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FD78A59-789B-409B-9060-9EE18146F06E}" name="Tabla10" displayName="Tabla10" ref="C5:G19" totalsRowShown="0" headerRowDxfId="92" dataDxfId="91">
  <autoFilter ref="C5:G19" xr:uid="{2222CCFA-AADA-4D37-9C20-4CE7B3D81B09}"/>
  <tableColumns count="5">
    <tableColumn id="1" xr3:uid="{812D4CFB-A459-4B00-BD38-F3F78EACD68A}" name="# Validación" dataDxfId="90"/>
    <tableColumn id="2" xr3:uid="{5585BB87-6B2E-44C6-9272-54C3ECE2FA29}" name="Descripción de la validación" dataDxfId="89"/>
    <tableColumn id="3" xr3:uid="{4B610784-5B35-4920-8CC8-9F62EDA80FDA}" name="N# 1.6" dataDxfId="88"/>
    <tableColumn id="4" xr3:uid="{13968BC6-4543-43E8-BAA3-57EC6DD94F16}" name="# T.I" dataDxfId="87"/>
    <tableColumn id="5" xr3:uid="{59F98878-3090-4E64-8852-180FBCC7D4FD}" name="Cambio realizado" dataDxfId="86"/>
  </tableColumns>
  <tableStyleInfo name="TableStyleLight8" showFirstColumn="0"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F3A006-F840-4B96-A7D1-140325C0E27F}" name="N06_Cedidas_Descrip" displayName="N06_Cedidas_Descrip" ref="B5:H14" totalsRowShown="0" headerRowDxfId="85" dataDxfId="84">
  <autoFilter ref="B5:H14" xr:uid="{0F0EDE6C-401F-418F-B056-5B7AC32FA5D9}"/>
  <tableColumns count="7">
    <tableColumn id="1" xr3:uid="{B34AE3FB-6943-446A-8766-2C6CBE05348C}" name="NOMBRE DEL TAG" dataDxfId="83"/>
    <tableColumn id="2" xr3:uid="{B30EA20D-53EB-4899-B19F-D33A954CEEDC}" name="TIPO DATO" dataDxfId="82"/>
    <tableColumn id="3" xr3:uid="{E4C204A5-FCF2-4582-A0D0-ECA446825ADF}" name="TAMAÑO FORMATO" dataDxfId="81"/>
    <tableColumn id="4" xr3:uid="{D2A34599-9845-4B3F-A31E-49AD818282D2}" name="ESTADO" dataDxfId="80"/>
    <tableColumn id="5" xr3:uid="{472AB9DC-0FFD-482A-A1B4-DA4B1D3382D5}" name="OBLIGATORIO" dataDxfId="79"/>
    <tableColumn id="6" xr3:uid="{DCF8FC8E-0EF3-4118-9D53-ACFD10358C64}" name="DESCRIPCIÓN" dataDxfId="78"/>
    <tableColumn id="7" xr3:uid="{6B0442CC-3819-472B-A258-F80FB77613AA}" name="TABLA CATALOGO ASOCIADA" dataDxfId="77"/>
  </tableColumns>
  <tableStyleInfo name="TableStyleLight8"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1B7278-D13C-4DA6-991D-A53E64A16042}" name="N06_Cedidas_Validaciones" displayName="N06_Cedidas_Validaciones" ref="C5:G13" totalsRowShown="0" headerRowDxfId="76" dataDxfId="75">
  <autoFilter ref="C5:G13" xr:uid="{E7BC6871-F5EE-4CEC-BCCA-9185DA3C87F6}"/>
  <tableColumns count="5">
    <tableColumn id="1" xr3:uid="{BBECF3FF-A935-4516-A060-343FCBD088B6}" name="# Validación" dataDxfId="74"/>
    <tableColumn id="2" xr3:uid="{17E80991-FB0A-4A63-8798-3D031935E41F}" name="Descripción de la validación" dataDxfId="73"/>
    <tableColumn id="3" xr3:uid="{60EA1F5A-CEA7-4962-9BA0-8821E4007ED6}" name="N# 1.6" dataDxfId="72"/>
    <tableColumn id="4" xr3:uid="{A11CF0A2-BC96-487C-9BA1-D7EEB9E0A701}" name="# T.I" dataDxfId="71"/>
    <tableColumn id="5" xr3:uid="{0F660542-A8CB-462D-885D-F4C575C54788}" name="Cambio realizado" dataDxfId="70"/>
  </tableColumns>
  <tableStyleInfo name="TableStyleLight8"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E05A558-73B3-4BC6-ADE1-C8A500C5C5C9}" name="N02_Fiduciarias_Descripcion" displayName="N02_Fiduciarias_Descripcion" ref="B5:H14" totalsRowShown="0" headerRowDxfId="69" dataDxfId="68">
  <autoFilter ref="B5:H14" xr:uid="{8A387734-AB71-443A-8723-AB2B5B534B85}"/>
  <tableColumns count="7">
    <tableColumn id="1" xr3:uid="{5463AEEA-EE3D-4245-8471-0D9634CC88DF}" name="NOMBRE DEL TAG" dataDxfId="67"/>
    <tableColumn id="2" xr3:uid="{3E0AFD92-9D1A-440D-9FD8-9D8F3B669602}" name="TIPO DATO" dataDxfId="66"/>
    <tableColumn id="3" xr3:uid="{D5DBBA12-EA4F-453D-B799-236D7BA52F51}" name="TAMAÑO FORMATO" dataDxfId="65"/>
    <tableColumn id="4" xr3:uid="{3D9E7081-F668-4788-B9C5-601FBABCF2A3}" name="ESTADO" dataDxfId="64"/>
    <tableColumn id="5" xr3:uid="{414C147A-FEA6-43B5-9C50-66809C7BE811}" name="OBLIGATORIO" dataDxfId="63"/>
    <tableColumn id="6" xr3:uid="{30BF2DE2-8DE8-4CBD-A7EB-576338EED59F}" name="DESCRIPCIÓN" dataDxfId="62"/>
    <tableColumn id="7" xr3:uid="{F85A61D4-1790-4A7D-9AAA-70C45EB5F4A2}" name="TABLA CATALOGO ASOCIADA" dataDxfId="61"/>
  </tableColumns>
  <tableStyleInfo name="TableStyleLight8"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365BA14-F7EF-4B38-8249-698BBD8F165C}" name="N02_Fiduciarias_Validaciones" displayName="N02_Fiduciarias_Validaciones" ref="C5:G16" headerRowDxfId="60" dataDxfId="59" totalsRowDxfId="58">
  <autoFilter ref="C5:G16" xr:uid="{BFA1FD87-691E-4962-AA16-E1AE1FE98022}"/>
  <tableColumns count="5">
    <tableColumn id="1" xr3:uid="{8D62C669-1C57-44C7-BFAB-9AAECF70CBD3}" name="# Validación" dataDxfId="57" totalsRowDxfId="56"/>
    <tableColumn id="2" xr3:uid="{726A3734-8E6D-4E64-AFEF-4A09D06DB53D}" name="Descripción de la validación" dataDxfId="55" totalsRowDxfId="54"/>
    <tableColumn id="3" xr3:uid="{C1C3B3BE-2440-4BD8-A9E0-70137D5A75D6}" name="N# 1.6" dataDxfId="53" totalsRowDxfId="52"/>
    <tableColumn id="4" xr3:uid="{FF95EA5A-DDB7-4C6B-98A0-A72B0036ECAC}" name="# T.I" dataDxfId="51" totalsRowDxfId="50"/>
    <tableColumn id="5" xr3:uid="{B2F96D24-0B08-49AB-A15D-B33E1FDBD973}" name="Cambio realizado" dataDxfId="49" totalsRowDxfId="48"/>
  </tableColumns>
  <tableStyleInfo name="TableStyleLight8"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FB241-EB08-4BBA-BF28-12B52831D48D}" name="N03_Reales_Descripcion" displayName="N03_Reales_Descripcion" ref="B5:H23" totalsRowShown="0" headerRowDxfId="47" dataDxfId="46">
  <autoFilter ref="B5:H23" xr:uid="{2C6218A5-094A-46AF-B733-D5CB9FED1802}"/>
  <tableColumns count="7">
    <tableColumn id="1" xr3:uid="{3D01F690-EF73-4EB2-8F7C-775DF081D124}" name="NOMBRE DEL TAG" dataDxfId="45"/>
    <tableColumn id="2" xr3:uid="{194D8CCB-2C3B-41A2-9DDA-07E4E6427FD3}" name="TIPO DATO" dataDxfId="44"/>
    <tableColumn id="3" xr3:uid="{6F5FA480-24D8-466E-A636-33B213DAA895}" name="TAMAÑO FORMATO" dataDxfId="43"/>
    <tableColumn id="4" xr3:uid="{A44B0A3C-F944-4174-BDE2-B6C7F8F39171}" name="ESTADO" dataDxfId="42"/>
    <tableColumn id="5" xr3:uid="{ECF9393B-6457-4F1F-B7BC-30A0D2FE1B58}" name="OBLIGATORIO" dataDxfId="41"/>
    <tableColumn id="6" xr3:uid="{57146977-25B6-4104-9C19-168DE7728145}" name="DESCRIPCIÓN" dataDxfId="40"/>
    <tableColumn id="7" xr3:uid="{46111FBF-66B3-4DE2-B510-FD1E282D0DED}" name="TABLA CATALOGO ASOCIADA" dataDxfId="39"/>
  </tableColumns>
  <tableStyleInfo name="TableStyleLight8"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ECDEFB8-C8D6-4DD8-94B9-02BB3EE435D6}" name="N03_Reales_Descripcion15" displayName="N03_Reales_Descripcion15" ref="B5:H29" totalsRowShown="0" headerRowDxfId="38" dataDxfId="37">
  <autoFilter ref="B5:H29" xr:uid="{2C6218A5-094A-46AF-B733-D5CB9FED1802}"/>
  <tableColumns count="7">
    <tableColumn id="1" xr3:uid="{D74DFD95-9F02-46DC-B88A-8B986EBC9463}" name="NOMBRE DEL TAG" dataDxfId="36"/>
    <tableColumn id="2" xr3:uid="{61F60D28-08BC-48F5-A37A-B5420A62C704}" name="TIPO DATO" dataDxfId="35"/>
    <tableColumn id="3" xr3:uid="{5483047F-5EA4-448D-9D2C-BDC53175EFC0}" name="TAMAÑO FORMATO" dataDxfId="34"/>
    <tableColumn id="4" xr3:uid="{47B53790-D476-4CD5-9A07-11F50E13DFDB}" name="ESTADO" dataDxfId="33"/>
    <tableColumn id="5" xr3:uid="{EC1064B9-881F-42B7-A8ED-FEA2BF1A7F90}" name="OBLIGATORIO" dataDxfId="32"/>
    <tableColumn id="6" xr3:uid="{AA1AE976-6C9F-4E8D-95D6-C348A193A876}" name="DESCRIPCIÓN" dataDxfId="31"/>
    <tableColumn id="7" xr3:uid="{F2249B6A-AA7E-4569-B2FF-B542ABE703A7}" name="TABLA CATALOGO ASOCIADA" dataDxfId="30"/>
  </tableColumns>
  <tableStyleInfo name="TableStyleLight8"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46EF2-7C70-484E-8A5D-ECA2C405BE71}" name="N03_Reales_Validaciones" displayName="N03_Reales_Validaciones" ref="C5:F28" totalsRowShown="0" headerRowDxfId="29" dataDxfId="28">
  <autoFilter ref="C5:F28" xr:uid="{375E7F21-C3B3-4D8B-B80B-D32839BDC50F}"/>
  <tableColumns count="4">
    <tableColumn id="1" xr3:uid="{971C3A09-5EF3-4A74-BB79-220A8A67347C}" name="# Validación" dataDxfId="27"/>
    <tableColumn id="2" xr3:uid="{9BB41B0F-9BF0-4BE6-8876-D1691B7CF8EF}" name="Descripción de la validación" dataDxfId="26"/>
    <tableColumn id="3" xr3:uid="{6E2D3544-A972-471D-AC76-DA8CC8D341A9}" name="N# 1.6" dataDxfId="25"/>
    <tableColumn id="4" xr3:uid="{699E540B-A998-49DB-B067-2D19BF7429A8}" name="# T.I" dataDxfId="24"/>
  </tableColumns>
  <tableStyleInfo name="TableStyleLight8"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BE1411-11E8-413C-B3ED-C3C0DF180B0B}" name="N04_Valores_Descripcion" displayName="N04_Valores_Descripcion" ref="B5:I27" totalsRowShown="0" headerRowDxfId="23" dataDxfId="22">
  <autoFilter ref="B5:I27" xr:uid="{24D5D102-72E3-4A59-A625-D8A82708266A}"/>
  <tableColumns count="8">
    <tableColumn id="1" xr3:uid="{69F85466-FEC7-4D15-9FED-C40063027409}" name="NOMBRE DEL TAG" dataDxfId="21"/>
    <tableColumn id="2" xr3:uid="{026733CA-5891-4756-B40C-53EBCC611AA3}" name="TIPO DATO" dataDxfId="20"/>
    <tableColumn id="3" xr3:uid="{6C5DB585-25DB-4CFA-B193-B1626443660E}" name="TAMAÑO FORMATO" dataDxfId="19"/>
    <tableColumn id="4" xr3:uid="{45B47A70-50AC-4BC1-9684-4A16E274A65B}" name="ESTADO" dataDxfId="18"/>
    <tableColumn id="5" xr3:uid="{2C2570DC-1C26-491E-A680-6AB62EB1241A}" name="OBLIGATORIO" dataDxfId="17"/>
    <tableColumn id="6" xr3:uid="{404AEEF9-D585-40DD-97B9-0E5C2C4BC36D}" name="DESCRIPCIÓN" dataDxfId="16"/>
    <tableColumn id="7" xr3:uid="{2513EF61-D6EC-4631-A652-3F2FDD6A2D25}" name="TABLA CATALOGO ASOCIADA" dataDxfId="15" dataCellStyle="Normal"/>
    <tableColumn id="8" xr3:uid="{EFA1955C-4193-4F71-978C-EEE61B9F8CF3}" name="Columna1" dataDxfId="14"/>
  </tableColumns>
  <tableStyleInfo name="TableStyleLight8"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E8A7AC8-24C1-499C-A0B3-B1BDE7EA59BE}" name="N04_Valores_Validaciones14" displayName="N04_Valores_Validaciones14" ref="C5:G37" totalsRowShown="0" headerRowDxfId="13" dataDxfId="12">
  <autoFilter ref="C5:G37" xr:uid="{FE8A7AC8-24C1-499C-A0B3-B1BDE7EA59BE}"/>
  <tableColumns count="5">
    <tableColumn id="1" xr3:uid="{9968FD2A-8D5F-4C21-AEDC-95ACEF32C105}" name="# Validación" dataDxfId="11"/>
    <tableColumn id="2" xr3:uid="{20CDE3C6-7621-4AAD-A39A-F72098D92301}" name="Descripción de la validación" dataDxfId="10"/>
    <tableColumn id="3" xr3:uid="{E1DF6868-382D-426F-BB7D-818E6F24DB9E}" name="N# 1.6" dataDxfId="9"/>
    <tableColumn id="4" xr3:uid="{19245560-E3A1-4F62-98B2-CF2DD9094E39}" name="# T.I" dataDxfId="8"/>
    <tableColumn id="5" xr3:uid="{2C28F380-CE74-40E8-B3CE-37F6CBF61D65}" name="Cambio realizado" dataDxfId="7"/>
  </tableColumns>
  <tableStyleInfo name="TableStyleLight8"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18524AF-3B74-4605-9037-B809D414AFD1}" name="N04_Valores_Validaciones" displayName="N04_Valores_Validaciones" ref="B5:F30" totalsRowShown="0" headerRowDxfId="6" dataDxfId="5">
  <autoFilter ref="B5:F30" xr:uid="{A218E458-776A-41C2-BBD3-FF4B256D696A}"/>
  <tableColumns count="5">
    <tableColumn id="1" xr3:uid="{F0C5812B-F00F-4C35-8713-DF553A63B3AF}" name="# Validación" dataDxfId="4"/>
    <tableColumn id="2" xr3:uid="{E1287294-4DC1-4826-B4D2-80F3D800EA01}" name="Descripción de la validación" dataDxfId="3"/>
    <tableColumn id="3" xr3:uid="{C7DE996A-3B80-4E4D-9146-D2D2EAE3C818}" name="N# 1.6" dataDxfId="2"/>
    <tableColumn id="4" xr3:uid="{A5FF3096-B15B-460E-9DDF-11BCCD976E3C}" name="# T.I" dataDxfId="1"/>
    <tableColumn id="5" xr3:uid="{E4BEA488-9389-452B-888E-9D4F14EED6B4}" name="Cambio realizado" dataDxfId="0"/>
  </tableColumns>
  <tableStyleInfo name="TableStyleLight8" showFirstColumn="0" showLastColumn="0" showRowStripes="1" showColumnStripes="1"/>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6" dT="2022-06-03T20:25:05.42" personId="{9F1FE821-D3F6-47CE-8D75-445D785FDEE0}" id="{86278528-4A5F-4C28-91E3-13EA1E4D782D}">
    <text>Comentario del Popular</text>
  </threadedComment>
  <threadedComment ref="G7" dT="2022-06-03T20:25:05.42" personId="{9F1FE821-D3F6-47CE-8D75-445D785FDEE0}" id="{4D526EC8-15DD-41D1-ABBF-A54D230DEF2C}">
    <text>Comentario del Popular</text>
  </threadedComment>
  <threadedComment ref="G8" dT="2022-06-03T20:25:05.42" personId="{9F1FE821-D3F6-47CE-8D75-445D785FDEE0}" id="{5B8F4630-3088-4B38-A4B9-655A91ADB7DB}">
    <text>Comentario del Popular</text>
  </threadedComment>
  <threadedComment ref="G9" dT="2022-06-03T20:25:05.42" personId="{9F1FE821-D3F6-47CE-8D75-445D785FDEE0}" id="{DE9A79C5-4A1D-4329-9095-E64B3E31520D}">
    <text>Comentario del Popular</text>
  </threadedComment>
  <threadedComment ref="G10" dT="2022-06-03T20:25:05.42" personId="{9F1FE821-D3F6-47CE-8D75-445D785FDEE0}" id="{81D39019-7A94-4717-BBCE-6BFBE8313E39}">
    <text>Comentario del Popular</text>
  </threadedComment>
  <threadedComment ref="G11" dT="2022-06-03T20:25:05.42" personId="{9F1FE821-D3F6-47CE-8D75-445D785FDEE0}" id="{E99EE439-C82E-43D4-B027-B3DC72315564}">
    <text>Comentario del Popular</text>
  </threadedComment>
  <threadedComment ref="G12" dT="2022-06-03T20:25:05.42" personId="{9F1FE821-D3F6-47CE-8D75-445D785FDEE0}" id="{4D94108B-8815-4E3C-A03C-3A913EB06948}">
    <text>Comentario del Popular</text>
  </threadedComment>
  <threadedComment ref="C20" dT="2022-06-24T18:08:27.12" personId="{78C02E47-D38E-4B9C-A1D9-220D59057EC9}" id="{EF0E7C9D-C9F5-4DFA-8C57-C62D688C73EB}">
    <text xml:space="preserve">Los 3 campos si vienen en los archivos a lo que me refiero es que el campo en específico CodigoCalificacionRiesgo viene como no Requerido u OBLIGATORIO y debería ser Requerido  - OBLIGATORIO. Favor Revisar @ARCE LOAIZA LEONEL </text>
    <mentions>
      <mention mentionpersonId="{129EB540-E4CE-4953-97A9-CDEA5AD706C1}" mentionId="{34B20891-DF5B-4A1E-998D-232B7206FD13}" startIndex="206" length="19"/>
    </mentions>
  </threadedComment>
  <threadedComment ref="H20" dT="2022-06-24T18:02:12.17" personId="{9F1FE821-D3F6-47CE-8D75-445D785FDEE0}" id="{2CECA2F8-46BE-4465-9CAC-748ECBC1B49A}">
    <text>Favo de revisar el comentario incluido en la consulta.</text>
  </threadedComment>
  <threadedComment ref="H20" dT="2022-06-24T18:09:12.64" personId="{78C02E47-D38E-4B9C-A1D9-220D59057EC9}" id="{10AD139E-0FDA-4529-82A4-8FB34A11A38E}" parentId="{2CECA2F8-46BE-4465-9CAC-748ECBC1B49A}">
    <text>Favor revisar nuevamente</text>
  </threadedComment>
  <threadedComment ref="C26" dT="2022-07-04T19:31:13.94" personId="{200BDDEC-BC6D-4B96-AD55-51B6545E53E2}" id="{3CCBA334-8765-4B50-A964-0578809DB7ED}">
    <text>Estimado compañero, este archivo tiene la numerción 5115 y se encuentra ahora en el archivo de Operaciones.</text>
  </threadedComment>
  <threadedComment ref="C50" dT="2022-11-23T15:52:13.43" personId="{78C02E47-D38E-4B9C-A1D9-220D59057EC9}" id="{AC62B9A4-D197-4EAF-949D-63EAE082651B}">
    <text>@CARLOS ALBERTO FERNANDEZ ROJAS listo</text>
    <mentions>
      <mention mentionpersonId="{1F8AB65F-9830-45BF-B957-DBF26FB874B4}" mentionId="{2547D3E7-BDD8-4D8B-B1AD-5EAD3EBFC240}" startIndex="0" length="31"/>
    </mentions>
  </threadedComment>
  <threadedComment ref="C51" dT="2022-11-23T18:45:53.74" personId="{78C02E47-D38E-4B9C-A1D9-220D59057EC9}" id="{631FCED4-AA14-415D-BC99-695E6A533E45}">
    <text xml:space="preserve">@ARCE LOAIZA LEONEL </text>
    <mentions>
      <mention mentionpersonId="{129EB540-E4CE-4953-97A9-CDEA5AD706C1}" mentionId="{30DDA2A3-8527-4F37-A786-310FBF0CE262}" startIndex="0" length="19"/>
    </mentions>
  </threadedComment>
  <threadedComment ref="C51" dT="2022-11-24T16:43:01.72" personId="{9F1FE821-D3F6-47CE-8D75-445D785FDEE0}" id="{455BC3AE-A38D-4463-8319-FE22371CEA89}" parentId="{631FCED4-AA14-415D-BC99-695E6A533E45}">
    <text>Atendida.   Se elimina val 6 de Facturas cedidas.</text>
  </threadedComment>
  <threadedComment ref="C55" dT="2022-11-23T20:13:47.51" personId="{78C02E47-D38E-4B9C-A1D9-220D59057EC9}" id="{2C753EE5-D654-4C9B-A93D-AC043113A7A3}">
    <text xml:space="preserve">@EDDY GERARDO NUÑEZ SALAZAR </text>
    <mentions>
      <mention mentionpersonId="{57D504EA-B852-4DCC-89C6-7AA9775C3B5E}" mentionId="{8A798EF0-749A-4DC1-8134-5E45EE1BE224}" startIndex="0" length="27"/>
    </mentions>
  </threadedComment>
  <threadedComment ref="C58" dT="2022-11-23T21:25:37.59" personId="{78C02E47-D38E-4B9C-A1D9-220D59057EC9}" id="{52253FCF-FAB1-4574-ACFF-E1EA1D8F9D91}">
    <text xml:space="preserve">@CARLOS ALBERTO FERNANDEZ ROJAS </text>
    <mentions>
      <mention mentionpersonId="{1F8AB65F-9830-45BF-B957-DBF26FB874B4}" mentionId="{C250B6B7-DD2C-40AB-B17E-F5CE9E0599CD}" startIndex="0" length="31"/>
    </mentions>
  </threadedComment>
  <threadedComment ref="C60" dT="2022-11-24T21:25:18.03" personId="{78C02E47-D38E-4B9C-A1D9-220D59057EC9}" id="{3081F9C0-B32E-42DC-900E-654DC3565828}">
    <text xml:space="preserve">@ARCE LOAIZA LEONEL </text>
    <mentions>
      <mention mentionpersonId="{129EB540-E4CE-4953-97A9-CDEA5AD706C1}" mentionId="{2661459C-69D7-4DEA-AB66-A41EF8CD31DD}" startIndex="0" length="19"/>
    </mentions>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microsoft.com/office/2019/04/relationships/documenttask" Target="../documenttasks/documenttask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9.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2.xml"/><Relationship Id="rId1" Type="http://schemas.openxmlformats.org/officeDocument/2006/relationships/printerSettings" Target="../printerSettings/printerSettings25.bin"/><Relationship Id="rId5" Type="http://schemas.openxmlformats.org/officeDocument/2006/relationships/comments" Target="../comments3.xml"/><Relationship Id="rId4"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4.xml"/><Relationship Id="rId1" Type="http://schemas.openxmlformats.org/officeDocument/2006/relationships/printerSettings" Target="../printerSettings/printerSettings27.bin"/><Relationship Id="rId5" Type="http://schemas.openxmlformats.org/officeDocument/2006/relationships/comments" Target="../comments4.xml"/><Relationship Id="rId4" Type="http://schemas.openxmlformats.org/officeDocument/2006/relationships/table" Target="../tables/table11.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25.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8.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9.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30.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32.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3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34.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05B5E-97D3-4EE8-97A8-2C87D7E0DECB}">
  <sheetPr codeName="Hoja7"/>
  <dimension ref="A2:L41"/>
  <sheetViews>
    <sheetView showGridLines="0" zoomScale="70" zoomScaleNormal="70" workbookViewId="0">
      <pane ySplit="4" topLeftCell="A5" activePane="bottomLeft" state="frozen"/>
      <selection pane="bottomLeft" activeCell="D25" sqref="D25"/>
    </sheetView>
  </sheetViews>
  <sheetFormatPr baseColWidth="10" defaultColWidth="11.453125" defaultRowHeight="14.5" x14ac:dyDescent="0.35"/>
  <cols>
    <col min="1" max="1" width="19.54296875" customWidth="1"/>
    <col min="2" max="2" width="57.453125" customWidth="1"/>
    <col min="3" max="3" width="41.453125" customWidth="1"/>
    <col min="4" max="4" width="66.453125" customWidth="1"/>
    <col min="5" max="5" width="32.453125" customWidth="1"/>
    <col min="6" max="6" width="80.54296875" customWidth="1"/>
    <col min="7" max="7" width="85.453125" customWidth="1"/>
  </cols>
  <sheetData>
    <row r="2" spans="1:12" ht="18.5" x14ac:dyDescent="0.45">
      <c r="A2" s="172" t="s">
        <v>0</v>
      </c>
    </row>
    <row r="4" spans="1:12" ht="56.25" customHeight="1" x14ac:dyDescent="0.35">
      <c r="A4" s="167" t="s">
        <v>1</v>
      </c>
      <c r="B4" s="167" t="s">
        <v>2</v>
      </c>
      <c r="C4" s="167" t="s">
        <v>3</v>
      </c>
      <c r="D4" s="167" t="s">
        <v>4</v>
      </c>
      <c r="E4" s="167" t="s">
        <v>5</v>
      </c>
      <c r="F4" s="167" t="s">
        <v>6</v>
      </c>
      <c r="G4" s="167" t="s">
        <v>7</v>
      </c>
    </row>
    <row r="5" spans="1:12" ht="28.5" customHeight="1" x14ac:dyDescent="0.35">
      <c r="A5" s="168">
        <v>44831</v>
      </c>
      <c r="B5" s="169" t="s">
        <v>8</v>
      </c>
      <c r="C5" s="169" t="s">
        <v>9</v>
      </c>
      <c r="D5" s="179" t="s">
        <v>10</v>
      </c>
      <c r="E5" s="169" t="s">
        <v>11</v>
      </c>
      <c r="F5" s="169" t="s">
        <v>11</v>
      </c>
      <c r="G5" s="169" t="s">
        <v>11</v>
      </c>
      <c r="L5" s="169" t="s">
        <v>9</v>
      </c>
    </row>
    <row r="6" spans="1:12" ht="28" x14ac:dyDescent="0.35">
      <c r="A6" s="168">
        <v>44831</v>
      </c>
      <c r="B6" s="169" t="s">
        <v>12</v>
      </c>
      <c r="C6" s="169" t="s">
        <v>9</v>
      </c>
      <c r="D6" s="179" t="s">
        <v>13</v>
      </c>
      <c r="E6" s="169" t="s">
        <v>11</v>
      </c>
      <c r="F6" s="169" t="s">
        <v>11</v>
      </c>
      <c r="G6" s="169" t="s">
        <v>11</v>
      </c>
      <c r="L6" s="169" t="s">
        <v>14</v>
      </c>
    </row>
    <row r="7" spans="1:12" ht="28" x14ac:dyDescent="0.35">
      <c r="A7" s="168">
        <v>44831</v>
      </c>
      <c r="B7" s="169" t="s">
        <v>15</v>
      </c>
      <c r="C7" s="169" t="s">
        <v>9</v>
      </c>
      <c r="D7" s="179" t="s">
        <v>13</v>
      </c>
      <c r="E7" s="169" t="s">
        <v>11</v>
      </c>
      <c r="F7" s="169" t="s">
        <v>11</v>
      </c>
      <c r="G7" s="169" t="s">
        <v>11</v>
      </c>
      <c r="L7" s="169" t="s">
        <v>14</v>
      </c>
    </row>
    <row r="8" spans="1:12" ht="29" x14ac:dyDescent="0.35">
      <c r="A8" s="168">
        <v>44831</v>
      </c>
      <c r="B8" s="169" t="s">
        <v>16</v>
      </c>
      <c r="C8" s="169" t="s">
        <v>9</v>
      </c>
      <c r="D8" s="179" t="s">
        <v>13</v>
      </c>
      <c r="E8" s="169" t="s">
        <v>11</v>
      </c>
      <c r="F8" s="169" t="s">
        <v>11</v>
      </c>
      <c r="G8" s="169" t="s">
        <v>11</v>
      </c>
      <c r="I8" s="171" t="s">
        <v>17</v>
      </c>
      <c r="L8" s="169" t="s">
        <v>14</v>
      </c>
    </row>
    <row r="9" spans="1:12" ht="42" x14ac:dyDescent="0.35">
      <c r="A9" s="168">
        <v>44831</v>
      </c>
      <c r="B9" s="169" t="s">
        <v>18</v>
      </c>
      <c r="C9" s="169" t="s">
        <v>9</v>
      </c>
      <c r="D9" s="179" t="s">
        <v>19</v>
      </c>
      <c r="E9" s="169" t="s">
        <v>11</v>
      </c>
      <c r="F9" s="169" t="s">
        <v>11</v>
      </c>
      <c r="G9" s="169" t="s">
        <v>11</v>
      </c>
      <c r="L9" s="169" t="s">
        <v>14</v>
      </c>
    </row>
    <row r="10" spans="1:12" ht="28" x14ac:dyDescent="0.35">
      <c r="A10" s="168">
        <v>44831</v>
      </c>
      <c r="B10" s="169" t="s">
        <v>20</v>
      </c>
      <c r="C10" s="169" t="s">
        <v>9</v>
      </c>
      <c r="D10" s="179" t="s">
        <v>13</v>
      </c>
      <c r="E10" s="169" t="s">
        <v>11</v>
      </c>
      <c r="F10" s="169" t="s">
        <v>11</v>
      </c>
      <c r="G10" s="169" t="s">
        <v>11</v>
      </c>
      <c r="L10" s="169" t="s">
        <v>14</v>
      </c>
    </row>
    <row r="11" spans="1:12" ht="29" x14ac:dyDescent="0.35">
      <c r="A11" s="168">
        <v>44831</v>
      </c>
      <c r="B11" s="169" t="s">
        <v>12</v>
      </c>
      <c r="C11" s="169" t="s">
        <v>21</v>
      </c>
      <c r="D11" s="170" t="s">
        <v>22</v>
      </c>
      <c r="E11" s="169" t="s">
        <v>23</v>
      </c>
      <c r="F11" s="169" t="s">
        <v>24</v>
      </c>
      <c r="G11" s="169" t="s">
        <v>25</v>
      </c>
      <c r="L11" s="169" t="s">
        <v>14</v>
      </c>
    </row>
    <row r="12" spans="1:12" x14ac:dyDescent="0.35">
      <c r="A12" s="168">
        <v>44831</v>
      </c>
      <c r="B12" s="169" t="s">
        <v>15</v>
      </c>
      <c r="C12" s="169" t="s">
        <v>21</v>
      </c>
      <c r="D12" s="170" t="s">
        <v>26</v>
      </c>
      <c r="E12" s="169" t="s">
        <v>27</v>
      </c>
      <c r="F12" s="169" t="s">
        <v>24</v>
      </c>
      <c r="G12" s="169" t="s">
        <v>28</v>
      </c>
      <c r="L12" s="169"/>
    </row>
    <row r="13" spans="1:12" ht="29" x14ac:dyDescent="0.35">
      <c r="A13" s="168">
        <v>44831</v>
      </c>
      <c r="B13" s="169" t="s">
        <v>18</v>
      </c>
      <c r="C13" s="169" t="s">
        <v>21</v>
      </c>
      <c r="D13" s="170" t="s">
        <v>29</v>
      </c>
      <c r="E13" s="169" t="s">
        <v>30</v>
      </c>
      <c r="F13" s="169" t="s">
        <v>24</v>
      </c>
      <c r="G13" s="169" t="s">
        <v>31</v>
      </c>
      <c r="L13" s="169" t="s">
        <v>14</v>
      </c>
    </row>
    <row r="14" spans="1:12" ht="29" x14ac:dyDescent="0.35">
      <c r="A14" s="168">
        <v>44831</v>
      </c>
      <c r="B14" s="169" t="s">
        <v>20</v>
      </c>
      <c r="C14" s="169" t="s">
        <v>21</v>
      </c>
      <c r="D14" s="170" t="s">
        <v>32</v>
      </c>
      <c r="E14" s="169" t="s">
        <v>33</v>
      </c>
      <c r="F14" s="169" t="s">
        <v>24</v>
      </c>
      <c r="G14" s="169" t="s">
        <v>31</v>
      </c>
      <c r="L14" s="169" t="s">
        <v>14</v>
      </c>
    </row>
    <row r="15" spans="1:12" ht="29" x14ac:dyDescent="0.35">
      <c r="A15" s="168">
        <v>44831</v>
      </c>
      <c r="B15" s="169" t="s">
        <v>20</v>
      </c>
      <c r="C15" s="169" t="s">
        <v>21</v>
      </c>
      <c r="D15" s="170" t="s">
        <v>34</v>
      </c>
      <c r="E15" s="169" t="s">
        <v>35</v>
      </c>
      <c r="F15" s="170"/>
      <c r="G15" s="170"/>
      <c r="L15" s="169" t="s">
        <v>14</v>
      </c>
    </row>
    <row r="16" spans="1:12" ht="29" x14ac:dyDescent="0.35">
      <c r="A16" s="168">
        <v>44831</v>
      </c>
      <c r="B16" s="169" t="s">
        <v>12</v>
      </c>
      <c r="C16" s="169" t="s">
        <v>21</v>
      </c>
      <c r="D16" s="170" t="s">
        <v>36</v>
      </c>
      <c r="E16" s="169" t="s">
        <v>37</v>
      </c>
      <c r="F16" s="170"/>
      <c r="G16" s="170"/>
      <c r="L16" s="169" t="s">
        <v>14</v>
      </c>
    </row>
    <row r="17" spans="1:12" ht="43.5" x14ac:dyDescent="0.35">
      <c r="A17" s="168">
        <v>44862</v>
      </c>
      <c r="B17" s="169" t="s">
        <v>16</v>
      </c>
      <c r="C17" s="169" t="s">
        <v>21</v>
      </c>
      <c r="D17" s="170" t="s">
        <v>38</v>
      </c>
      <c r="E17" s="169">
        <v>1</v>
      </c>
      <c r="F17" s="170" t="s">
        <v>39</v>
      </c>
      <c r="G17" s="170" t="s">
        <v>40</v>
      </c>
      <c r="L17" s="169" t="s">
        <v>14</v>
      </c>
    </row>
    <row r="18" spans="1:12" x14ac:dyDescent="0.35">
      <c r="A18" s="168">
        <v>44862</v>
      </c>
      <c r="B18" s="169" t="s">
        <v>18</v>
      </c>
      <c r="C18" s="169" t="s">
        <v>21</v>
      </c>
      <c r="D18" s="170" t="s">
        <v>41</v>
      </c>
      <c r="E18" s="169">
        <v>2</v>
      </c>
      <c r="F18" s="170"/>
      <c r="G18" s="170"/>
      <c r="L18" s="169" t="s">
        <v>14</v>
      </c>
    </row>
    <row r="19" spans="1:12" ht="29" x14ac:dyDescent="0.35">
      <c r="A19" s="168">
        <v>44862</v>
      </c>
      <c r="B19" s="169" t="s">
        <v>16</v>
      </c>
      <c r="C19" s="169" t="s">
        <v>21</v>
      </c>
      <c r="D19" s="170" t="s">
        <v>42</v>
      </c>
      <c r="E19" s="203" t="s">
        <v>43</v>
      </c>
      <c r="F19" s="170" t="s">
        <v>11</v>
      </c>
      <c r="G19" s="170" t="s">
        <v>11</v>
      </c>
      <c r="L19" s="169" t="s">
        <v>14</v>
      </c>
    </row>
    <row r="20" spans="1:12" ht="29" x14ac:dyDescent="0.35">
      <c r="A20" s="168">
        <v>44862</v>
      </c>
      <c r="B20" s="169" t="s">
        <v>18</v>
      </c>
      <c r="C20" s="169" t="s">
        <v>21</v>
      </c>
      <c r="D20" s="170" t="s">
        <v>44</v>
      </c>
      <c r="E20" s="203">
        <v>4</v>
      </c>
      <c r="F20" s="170" t="s">
        <v>11</v>
      </c>
      <c r="G20" s="170" t="s">
        <v>11</v>
      </c>
      <c r="L20" s="169" t="s">
        <v>14</v>
      </c>
    </row>
    <row r="21" spans="1:12" ht="29" x14ac:dyDescent="0.35">
      <c r="A21" s="168">
        <v>44862</v>
      </c>
      <c r="B21" s="169" t="s">
        <v>20</v>
      </c>
      <c r="C21" s="169" t="s">
        <v>21</v>
      </c>
      <c r="D21" s="170" t="s">
        <v>45</v>
      </c>
      <c r="E21" s="204">
        <v>23</v>
      </c>
      <c r="F21" s="170" t="s">
        <v>11</v>
      </c>
      <c r="G21" s="170" t="s">
        <v>11</v>
      </c>
      <c r="L21" s="169" t="s">
        <v>14</v>
      </c>
    </row>
    <row r="22" spans="1:12" ht="30" x14ac:dyDescent="0.35">
      <c r="A22" s="168">
        <v>44880</v>
      </c>
      <c r="B22" s="169" t="s">
        <v>8</v>
      </c>
      <c r="C22" s="169" t="s">
        <v>21</v>
      </c>
      <c r="D22" s="170" t="s">
        <v>46</v>
      </c>
      <c r="E22" s="204">
        <v>1</v>
      </c>
      <c r="F22" s="205" t="s">
        <v>47</v>
      </c>
      <c r="G22" s="205" t="s">
        <v>48</v>
      </c>
      <c r="L22" s="169" t="s">
        <v>14</v>
      </c>
    </row>
    <row r="23" spans="1:12" ht="68.25" customHeight="1" x14ac:dyDescent="0.35">
      <c r="A23" s="168">
        <v>44887</v>
      </c>
      <c r="B23" s="169" t="s">
        <v>12</v>
      </c>
      <c r="C23" s="169" t="s">
        <v>21</v>
      </c>
      <c r="D23" s="170" t="s">
        <v>49</v>
      </c>
      <c r="E23" s="204">
        <v>3</v>
      </c>
      <c r="F23" s="170" t="s">
        <v>50</v>
      </c>
      <c r="G23" s="170" t="s">
        <v>51</v>
      </c>
      <c r="L23" s="169" t="s">
        <v>52</v>
      </c>
    </row>
    <row r="24" spans="1:12" ht="29" x14ac:dyDescent="0.35">
      <c r="A24" s="168">
        <v>44887</v>
      </c>
      <c r="B24" s="169" t="s">
        <v>20</v>
      </c>
      <c r="C24" s="169" t="s">
        <v>21</v>
      </c>
      <c r="D24" s="170" t="s">
        <v>53</v>
      </c>
      <c r="E24" s="204">
        <v>3</v>
      </c>
      <c r="F24" s="170" t="s">
        <v>54</v>
      </c>
      <c r="G24" s="170"/>
    </row>
    <row r="25" spans="1:12" x14ac:dyDescent="0.35">
      <c r="A25" s="168"/>
      <c r="B25" s="169"/>
      <c r="C25" s="169"/>
      <c r="D25" s="170"/>
      <c r="E25" s="204"/>
      <c r="F25" s="170"/>
      <c r="G25" s="170"/>
    </row>
    <row r="26" spans="1:12" ht="130.5" customHeight="1" x14ac:dyDescent="0.35">
      <c r="A26" s="168">
        <v>44901</v>
      </c>
      <c r="B26" s="169" t="s">
        <v>16</v>
      </c>
      <c r="C26" s="169" t="s">
        <v>55</v>
      </c>
      <c r="D26" s="170" t="s">
        <v>56</v>
      </c>
      <c r="E26" s="204" t="s">
        <v>57</v>
      </c>
      <c r="F26" s="170" t="s">
        <v>58</v>
      </c>
      <c r="G26" s="170" t="s">
        <v>11</v>
      </c>
    </row>
    <row r="27" spans="1:12" x14ac:dyDescent="0.35">
      <c r="A27" s="168">
        <v>44935</v>
      </c>
      <c r="B27" s="169" t="s">
        <v>15</v>
      </c>
      <c r="C27" s="169" t="s">
        <v>21</v>
      </c>
      <c r="D27" s="170" t="s">
        <v>59</v>
      </c>
      <c r="E27" s="204">
        <v>96</v>
      </c>
      <c r="F27" s="170"/>
      <c r="G27" s="170" t="s">
        <v>60</v>
      </c>
    </row>
    <row r="28" spans="1:12" x14ac:dyDescent="0.35">
      <c r="A28" s="168">
        <v>44935</v>
      </c>
      <c r="B28" s="169"/>
      <c r="C28" s="169"/>
      <c r="D28" s="170" t="s">
        <v>61</v>
      </c>
      <c r="E28" s="204"/>
      <c r="F28" s="170" t="s">
        <v>62</v>
      </c>
      <c r="G28" s="170"/>
    </row>
    <row r="29" spans="1:12" x14ac:dyDescent="0.35">
      <c r="A29" s="168"/>
      <c r="B29" s="169"/>
      <c r="C29" s="169"/>
      <c r="D29" s="170" t="s">
        <v>61</v>
      </c>
      <c r="E29" s="204"/>
      <c r="F29" s="170" t="s">
        <v>63</v>
      </c>
      <c r="G29" s="170"/>
    </row>
    <row r="30" spans="1:12" x14ac:dyDescent="0.35">
      <c r="A30" s="168"/>
      <c r="B30" s="169"/>
      <c r="C30" s="169"/>
      <c r="D30" s="170" t="s">
        <v>61</v>
      </c>
      <c r="E30" s="204"/>
      <c r="F30" s="170"/>
      <c r="G30" s="170"/>
    </row>
    <row r="31" spans="1:12" x14ac:dyDescent="0.35">
      <c r="A31" s="168"/>
      <c r="B31" s="169"/>
      <c r="C31" s="169"/>
      <c r="D31" s="170" t="s">
        <v>61</v>
      </c>
      <c r="E31" s="204"/>
      <c r="F31" s="170"/>
      <c r="G31" s="170"/>
    </row>
    <row r="32" spans="1:12" x14ac:dyDescent="0.35">
      <c r="A32" s="168"/>
      <c r="B32" s="169"/>
      <c r="C32" s="169"/>
      <c r="D32" s="170" t="s">
        <v>61</v>
      </c>
      <c r="E32" s="204"/>
      <c r="F32" s="170"/>
      <c r="G32" s="170"/>
    </row>
    <row r="33" spans="1:7" x14ac:dyDescent="0.35">
      <c r="A33" s="168"/>
      <c r="B33" s="169"/>
      <c r="C33" s="169"/>
      <c r="D33" s="170" t="s">
        <v>61</v>
      </c>
      <c r="E33" s="204"/>
      <c r="F33" s="170"/>
      <c r="G33" s="170"/>
    </row>
    <row r="34" spans="1:7" x14ac:dyDescent="0.35">
      <c r="A34" s="168"/>
      <c r="B34" s="169"/>
      <c r="C34" s="169"/>
      <c r="D34" s="170" t="s">
        <v>61</v>
      </c>
      <c r="E34" s="170"/>
      <c r="F34" s="170"/>
      <c r="G34" s="170"/>
    </row>
    <row r="35" spans="1:7" x14ac:dyDescent="0.35">
      <c r="A35" s="168"/>
      <c r="B35" s="169"/>
      <c r="C35" s="169"/>
      <c r="D35" s="170" t="s">
        <v>61</v>
      </c>
      <c r="E35" s="170"/>
      <c r="F35" s="170"/>
      <c r="G35" s="170"/>
    </row>
    <row r="36" spans="1:7" ht="149.25" customHeight="1" x14ac:dyDescent="0.35">
      <c r="A36" s="168"/>
      <c r="B36" s="169"/>
      <c r="C36" s="169"/>
      <c r="D36" s="170" t="s">
        <v>61</v>
      </c>
      <c r="E36" s="170"/>
      <c r="F36" s="170"/>
      <c r="G36" s="170"/>
    </row>
    <row r="37" spans="1:7" x14ac:dyDescent="0.35">
      <c r="A37" s="168"/>
      <c r="B37" s="169"/>
      <c r="C37" s="169"/>
      <c r="D37" s="170" t="s">
        <v>61</v>
      </c>
      <c r="E37" s="170"/>
      <c r="F37" s="170"/>
      <c r="G37" s="170"/>
    </row>
    <row r="38" spans="1:7" x14ac:dyDescent="0.35">
      <c r="A38" s="168"/>
      <c r="B38" s="169"/>
      <c r="C38" s="169"/>
      <c r="D38" s="170" t="s">
        <v>61</v>
      </c>
      <c r="E38" s="170"/>
      <c r="F38" s="170"/>
      <c r="G38" s="170"/>
    </row>
    <row r="39" spans="1:7" x14ac:dyDescent="0.35">
      <c r="A39" s="168"/>
      <c r="B39" s="169"/>
      <c r="C39" s="169"/>
      <c r="D39" s="170" t="s">
        <v>61</v>
      </c>
      <c r="E39" s="170"/>
      <c r="F39" s="170"/>
      <c r="G39" s="170"/>
    </row>
    <row r="40" spans="1:7" x14ac:dyDescent="0.35">
      <c r="A40" s="168"/>
      <c r="B40" s="169"/>
      <c r="C40" s="169"/>
      <c r="D40" s="170" t="s">
        <v>61</v>
      </c>
      <c r="E40" s="170"/>
      <c r="F40" s="170"/>
      <c r="G40" s="170"/>
    </row>
    <row r="41" spans="1:7" x14ac:dyDescent="0.35">
      <c r="A41" s="168"/>
      <c r="B41" s="169"/>
      <c r="C41" s="169"/>
      <c r="D41" s="170" t="s">
        <v>61</v>
      </c>
      <c r="E41" s="170"/>
      <c r="F41" s="170"/>
      <c r="G41" s="170"/>
    </row>
  </sheetData>
  <autoFilter ref="A4:L41" xr:uid="{33B18B5F-0979-433B-ACCE-B755EB06D5F7}"/>
  <pageMargins left="0.7" right="0.7" top="0.75" bottom="0.75" header="0.3" footer="0.3"/>
  <pageSetup orientation="portrait" r:id="rId1"/>
  <headerFooter>
    <oddFooter>&amp;C&amp;1#&amp;"Calibri"&amp;10&amp;K000000Uso Interno</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53D9B22-93BA-48F5-87EA-4D3787138876}">
          <x14:formula1>
            <xm:f>#REF!</xm:f>
          </x14:formula1>
          <xm:sqref>B5:B41</xm:sqref>
        </x14:dataValidation>
        <x14:dataValidation type="list" allowBlank="1" showInputMessage="1" showErrorMessage="1" xr:uid="{9A8A97C0-B689-460D-A177-241B2002E41B}">
          <x14:formula1>
            <xm:f>#REF!</xm:f>
          </x14:formula1>
          <xm:sqref>C5:C41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EE2DC-30F6-46E6-BBEB-6EBAE85315C7}">
  <sheetPr codeName="Hoja90">
    <tabColor rgb="FF002060"/>
  </sheetPr>
  <dimension ref="C2:L12"/>
  <sheetViews>
    <sheetView showGridLines="0" tabSelected="1" zoomScale="115" zoomScaleNormal="115" workbookViewId="0">
      <pane xSplit="2" ySplit="4" topLeftCell="C5" activePane="bottomRight" state="frozen"/>
      <selection pane="topRight" activeCell="C1" sqref="C1"/>
      <selection pane="bottomLeft" activeCell="A5" sqref="A5"/>
      <selection pane="bottomRight" activeCell="G15" sqref="G15"/>
    </sheetView>
  </sheetViews>
  <sheetFormatPr baseColWidth="10" defaultColWidth="11.453125" defaultRowHeight="14" x14ac:dyDescent="0.3"/>
  <cols>
    <col min="1" max="3" width="11.453125" style="272"/>
    <col min="4" max="4" width="42.54296875" style="272" customWidth="1"/>
    <col min="5" max="6" width="22.54296875" style="272" customWidth="1"/>
    <col min="7" max="7" width="32.54296875" style="272" customWidth="1"/>
    <col min="8" max="8" width="22.54296875" style="272" customWidth="1"/>
    <col min="9" max="9" width="38.453125" style="272" customWidth="1"/>
    <col min="10" max="16384" width="11.453125" style="272"/>
  </cols>
  <sheetData>
    <row r="2" spans="3:12" ht="17.5" x14ac:dyDescent="0.35">
      <c r="C2" s="387" t="s">
        <v>91</v>
      </c>
      <c r="D2" s="387"/>
      <c r="E2" s="387"/>
      <c r="F2" s="387"/>
      <c r="G2" s="387"/>
    </row>
    <row r="4" spans="3:12" ht="35" x14ac:dyDescent="0.3">
      <c r="C4" s="274" t="s">
        <v>92</v>
      </c>
      <c r="D4" s="274" t="s">
        <v>2</v>
      </c>
      <c r="E4" s="274" t="s">
        <v>52</v>
      </c>
      <c r="F4" s="274" t="s">
        <v>9</v>
      </c>
      <c r="G4" s="274" t="s">
        <v>14</v>
      </c>
    </row>
    <row r="5" spans="3:12" x14ac:dyDescent="0.3">
      <c r="C5" s="275"/>
      <c r="D5" s="388" t="s">
        <v>93</v>
      </c>
      <c r="E5" s="388"/>
      <c r="F5" s="388"/>
      <c r="G5" s="388"/>
    </row>
    <row r="6" spans="3:12" x14ac:dyDescent="0.3">
      <c r="C6" s="275"/>
      <c r="D6" s="276" t="s">
        <v>94</v>
      </c>
      <c r="E6" s="277" t="str">
        <f>CONCATENATE("Ir a estructura")</f>
        <v>Ir a estructura</v>
      </c>
      <c r="F6" s="277" t="str">
        <f>CONCATENATE("Ir a descripción")</f>
        <v>Ir a descripción</v>
      </c>
      <c r="G6" s="277" t="str">
        <f>CONCATENATE("Ir a validaciones")</f>
        <v>Ir a validaciones</v>
      </c>
    </row>
    <row r="7" spans="3:12" x14ac:dyDescent="0.3">
      <c r="C7" s="275">
        <v>5201</v>
      </c>
      <c r="D7" s="278" t="s">
        <v>160</v>
      </c>
      <c r="E7" s="277" t="str">
        <f>CONCATENATE("Ir a estructura")</f>
        <v>Ir a estructura</v>
      </c>
      <c r="F7" s="277" t="str">
        <f>CONCATENATE("Ir a descripción")</f>
        <v>Ir a descripción</v>
      </c>
      <c r="G7" s="277" t="str">
        <f>CONCATENATE("Ir a validaciones")</f>
        <v>Ir a validaciones</v>
      </c>
    </row>
    <row r="8" spans="3:12" x14ac:dyDescent="0.3">
      <c r="C8" s="275">
        <v>5202</v>
      </c>
      <c r="D8" s="278" t="s">
        <v>161</v>
      </c>
      <c r="E8" s="277" t="str">
        <f t="shared" ref="E8:E12" si="0">CONCATENATE("Ir a estructura")</f>
        <v>Ir a estructura</v>
      </c>
      <c r="F8" s="277" t="str">
        <f t="shared" ref="F8:F12" si="1">CONCATENATE("Ir a descripción")</f>
        <v>Ir a descripción</v>
      </c>
      <c r="G8" s="277" t="str">
        <f t="shared" ref="G8:G12" si="2">CONCATENATE("Ir a validaciones")</f>
        <v>Ir a validaciones</v>
      </c>
    </row>
    <row r="9" spans="3:12" ht="17.5" x14ac:dyDescent="0.35">
      <c r="C9" s="275">
        <v>5203</v>
      </c>
      <c r="D9" s="278" t="s">
        <v>162</v>
      </c>
      <c r="E9" s="277" t="str">
        <f t="shared" si="0"/>
        <v>Ir a estructura</v>
      </c>
      <c r="F9" s="277" t="str">
        <f t="shared" si="1"/>
        <v>Ir a descripción</v>
      </c>
      <c r="G9" s="277" t="str">
        <f t="shared" si="2"/>
        <v>Ir a validaciones</v>
      </c>
      <c r="L9" s="279"/>
    </row>
    <row r="10" spans="3:12" ht="17.5" x14ac:dyDescent="0.35">
      <c r="C10" s="275">
        <v>5204</v>
      </c>
      <c r="D10" s="278" t="s">
        <v>163</v>
      </c>
      <c r="E10" s="277" t="str">
        <f t="shared" si="0"/>
        <v>Ir a estructura</v>
      </c>
      <c r="F10" s="277" t="str">
        <f t="shared" si="1"/>
        <v>Ir a descripción</v>
      </c>
      <c r="G10" s="277" t="str">
        <f t="shared" si="2"/>
        <v>Ir a validaciones</v>
      </c>
      <c r="L10" s="279"/>
    </row>
    <row r="11" spans="3:12" x14ac:dyDescent="0.3">
      <c r="C11" s="275">
        <v>5205</v>
      </c>
      <c r="D11" s="278" t="s">
        <v>164</v>
      </c>
      <c r="E11" s="277" t="str">
        <f t="shared" si="0"/>
        <v>Ir a estructura</v>
      </c>
      <c r="F11" s="277" t="str">
        <f t="shared" si="1"/>
        <v>Ir a descripción</v>
      </c>
      <c r="G11" s="277" t="str">
        <f t="shared" si="2"/>
        <v>Ir a validaciones</v>
      </c>
    </row>
    <row r="12" spans="3:12" ht="14.5" x14ac:dyDescent="0.35">
      <c r="C12" s="275">
        <v>5206</v>
      </c>
      <c r="D12" s="278" t="s">
        <v>165</v>
      </c>
      <c r="E12" s="277" t="str">
        <f t="shared" si="0"/>
        <v>Ir a estructura</v>
      </c>
      <c r="F12" s="277" t="str">
        <f t="shared" si="1"/>
        <v>Ir a descripción</v>
      </c>
      <c r="G12" s="294" t="str">
        <f t="shared" si="2"/>
        <v>Ir a validaciones</v>
      </c>
    </row>
  </sheetData>
  <mergeCells count="2">
    <mergeCell ref="C2:G2"/>
    <mergeCell ref="D5:G5"/>
  </mergeCells>
  <hyperlinks>
    <hyperlink ref="E6" location="'01_Generalidades_Estructura'!B5" display="'01_Generalidades_Estructura'!B5" xr:uid="{5CD047C8-84F6-45F1-A517-1C488A49DC62}"/>
    <hyperlink ref="F6" location="'01_Generalidades_Campos'!B3" display="'01_Generalidades_Campos'!B3" xr:uid="{D2C1D5E6-211F-4650-A5FE-6B0E888D882A}"/>
    <hyperlink ref="G6" location="'01_Generalidades_Validaciones'!B3" display="'01_Generalidades_Validaciones'!B3" xr:uid="{F19479DC-7A59-4C64-AB64-3577FBF8B653}"/>
    <hyperlink ref="E7" location="'5201_Polizas_Estructura'!B5" display="'5201_Polizas_Estructura'!B5" xr:uid="{53374905-7837-435A-B93F-E89602258BCF}"/>
    <hyperlink ref="F7" location="'5201_Polizas Descripcion'!B3" display="'5201_Polizas Descripcion'!B3" xr:uid="{E48E3211-8998-4227-AE88-535BB575BE55}"/>
    <hyperlink ref="G7" location="'5201_Polizas Validaciones'!B3" display="'5201_Polizas Validaciones'!B3" xr:uid="{DC663FDE-9D6B-4025-97C6-C13CFDC8C2CD}"/>
    <hyperlink ref="E8" location="'5202_Cartas Credito_Estructura'!B5" display="'5202_Cartas Credito_Estructura'!B5" xr:uid="{A0BC961C-40CF-4B2F-A8BA-5BFC69A81DBD}"/>
    <hyperlink ref="F8" location="'5202_Cartas Credito_Descripcion'!B3" display="'5202_Cartas Credito_Descripcion'!B3" xr:uid="{D9E6CEED-E320-45EE-B9DE-09E3BD801AA3}"/>
    <hyperlink ref="G8" location="'5202_Cartas Credito_Validac '!B3" display="'5202_Cartas Credito_Validac '!B3" xr:uid="{8FCF5205-93EB-4004-98F6-46ADE42EEFE8}"/>
    <hyperlink ref="E9" location="'5203_Cedidas_Estructura'!B5" display="'5203_Cedidas_Estructura'!B5" xr:uid="{42EAEC00-722F-47E6-85A3-4C4B2442083E}"/>
    <hyperlink ref="F9" location="'5203_Cedidas_Descripcion'!B3" display="'5203_Cedidas_Descripcion'!B3" xr:uid="{419F9BE7-315D-4795-A4EF-0CF9B2C4E1C7}"/>
    <hyperlink ref="G9" location="'5203_Cedidas_Validaciones'!B3" display="'5203_Cedidas_Validaciones'!B3" xr:uid="{75613F7C-256E-480C-B526-8FCB577F18F4}"/>
    <hyperlink ref="E10" location="'5204_Fiduciarias_Estructura'!B5" display="'5204_Fiduciarias_Estructura'!B5" xr:uid="{F64883A0-264F-4CC1-BC0B-880DD29CFB6E}"/>
    <hyperlink ref="F10" location="'5204_Fiduciarias_Descripcion'!B3" display="'5204_Fiduciarias_Descripcion'!B3" xr:uid="{82B91E81-AB16-4953-8FA1-F9989854AC4D}"/>
    <hyperlink ref="G10" location="'5204_Fiduciarias_Validaciones'!B3" display="'5204_Fiduciarias_Validaciones'!B3" xr:uid="{62EB8AC9-08C3-4117-AE17-E72CFC07F928}"/>
    <hyperlink ref="E11" location="'5205_Reales_Estructura'!B5" display="'5205_Reales_Estructura'!B5" xr:uid="{71E34E84-12A1-4ED9-96E6-3EA0A8CB13E7}"/>
    <hyperlink ref="F11" location="'5205_Reales_Descripcion'!B3" display="'5205_Reales_Descripcion'!B3" xr:uid="{49D1FFBE-1965-4ECE-A3F6-58E287C06854}"/>
    <hyperlink ref="G11" location="'5205_Reales_Validaciones'!B3" display="'5205_Reales_Validaciones'!B3" xr:uid="{F03EE6F9-D24F-4B44-967F-4229AFE4473D}"/>
    <hyperlink ref="E12" location="'5206_Valores Estructura'!B5" display="'5206_Valores Estructura'!B5" xr:uid="{09E3203D-892B-424E-BB0B-C33E85CA8A11}"/>
    <hyperlink ref="F12" location="'5206_Valores_Descripcion'!B3" display="'5206_Valores_Descripcion'!B3" xr:uid="{D9377FAE-6367-44EC-B737-F3C079ED79B8}"/>
    <hyperlink ref="G12" location="'5206_Valores_Validaciones..'!B3" display="'5206_Valores_Validaciones..'!B3" xr:uid="{C8F5F27F-9685-4A27-961B-D23A508932FA}"/>
    <hyperlink ref="D5:G5" location="'Control Cambios_p_public_ V1'!A2" display="Detalle de Control de Cambios respecto a la publicación del 30 de junio 2022" xr:uid="{82EC0D29-7287-4DF7-819F-62DFD7835697}"/>
  </hyperlinks>
  <pageMargins left="0.7" right="0.7" top="0.75" bottom="0.75" header="0.3" footer="0.3"/>
  <pageSetup orientation="portrait" r:id="rId1"/>
  <headerFooter>
    <oddFooter>&amp;C&amp;1#&amp;"Calibri"&amp;10&amp;K000000Uso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060BB-D6B9-4B01-995E-05007897DEB6}">
  <sheetPr codeName="Hoja31">
    <tabColor rgb="FFFFFF00"/>
  </sheetPr>
  <dimension ref="A2:G4"/>
  <sheetViews>
    <sheetView showGridLines="0" zoomScale="70" zoomScaleNormal="70" workbookViewId="0">
      <pane ySplit="4" topLeftCell="A5" activePane="bottomLeft" state="frozen"/>
      <selection pane="bottomLeft" activeCell="B7" sqref="B7"/>
    </sheetView>
  </sheetViews>
  <sheetFormatPr baseColWidth="10" defaultColWidth="11.453125" defaultRowHeight="14" x14ac:dyDescent="0.3"/>
  <cols>
    <col min="1" max="1" width="19.54296875" style="272" customWidth="1"/>
    <col min="2" max="2" width="57.453125" style="272" customWidth="1"/>
    <col min="3" max="3" width="41.453125" style="272" customWidth="1"/>
    <col min="4" max="4" width="66.453125" style="272" customWidth="1"/>
    <col min="5" max="5" width="39.54296875" style="272" customWidth="1"/>
    <col min="6" max="6" width="80.54296875" style="272" customWidth="1"/>
    <col min="7" max="7" width="85.453125" style="272" customWidth="1"/>
    <col min="8" max="16384" width="11.453125" style="272"/>
  </cols>
  <sheetData>
    <row r="2" spans="1:7" ht="71.5" customHeight="1" x14ac:dyDescent="0.3">
      <c r="A2" s="384" t="s">
        <v>64</v>
      </c>
      <c r="B2" s="384"/>
      <c r="C2" s="384"/>
    </row>
    <row r="4" spans="1:7" ht="104.25" customHeight="1" x14ac:dyDescent="0.3">
      <c r="A4" s="273" t="s">
        <v>1</v>
      </c>
      <c r="B4" s="273" t="s">
        <v>2</v>
      </c>
      <c r="C4" s="273" t="s">
        <v>3</v>
      </c>
      <c r="D4" s="273" t="s">
        <v>4</v>
      </c>
      <c r="E4" s="273" t="s">
        <v>65</v>
      </c>
      <c r="F4" s="273" t="s">
        <v>6</v>
      </c>
      <c r="G4" s="273" t="s">
        <v>7</v>
      </c>
    </row>
  </sheetData>
  <autoFilter ref="A4:H4" xr:uid="{33B18B5F-0979-433B-ACCE-B755EB06D5F7}"/>
  <mergeCells count="1">
    <mergeCell ref="A2:C2"/>
  </mergeCells>
  <pageMargins left="0.7" right="0.7" top="0.75" bottom="0.75" header="0.3" footer="0.3"/>
  <pageSetup orientation="portrait" r:id="rId1"/>
  <headerFooter>
    <oddFooter>&amp;C&amp;1#&amp;"Calibri"&amp;10&amp;K000000Uso Interno</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6A36-A087-4228-BB5F-8A0124B96989}">
  <sheetPr codeName="Hoja19">
    <tabColor theme="3" tint="-0.499984740745262"/>
  </sheetPr>
  <dimension ref="A2:I121"/>
  <sheetViews>
    <sheetView showGridLines="0" topLeftCell="A3" zoomScale="72" zoomScaleNormal="72" workbookViewId="0">
      <pane xSplit="1" ySplit="2" topLeftCell="B23" activePane="bottomRight" state="frozen"/>
      <selection pane="topRight"/>
      <selection pane="bottomLeft"/>
      <selection pane="bottomRight" activeCell="H26" sqref="H26"/>
    </sheetView>
  </sheetViews>
  <sheetFormatPr baseColWidth="10" defaultColWidth="11.453125" defaultRowHeight="14" x14ac:dyDescent="0.35"/>
  <cols>
    <col min="1" max="1" width="11.54296875" style="231" customWidth="1"/>
    <col min="2" max="2" width="14.453125" style="163" customWidth="1"/>
    <col min="3" max="3" width="118.453125" style="166" customWidth="1"/>
    <col min="4" max="4" width="32.453125" style="163" customWidth="1"/>
    <col min="5" max="6" width="14.453125" style="163" customWidth="1"/>
    <col min="7" max="7" width="20.54296875" style="163" customWidth="1"/>
    <col min="8" max="8" width="21.54296875" style="163" customWidth="1"/>
    <col min="9" max="9" width="20.54296875" style="163" customWidth="1"/>
    <col min="10" max="10" width="21.54296875" style="163" customWidth="1"/>
    <col min="11" max="16384" width="11.453125" style="163"/>
  </cols>
  <sheetData>
    <row r="2" spans="1:9" x14ac:dyDescent="0.35">
      <c r="B2" s="385" t="s">
        <v>66</v>
      </c>
      <c r="C2" s="385"/>
      <c r="D2" s="385"/>
      <c r="E2" s="385"/>
      <c r="F2" s="385"/>
      <c r="G2" s="385"/>
      <c r="H2" s="385"/>
    </row>
    <row r="3" spans="1:9" ht="25.5" thickBot="1" x14ac:dyDescent="0.4">
      <c r="B3" s="386" t="s">
        <v>96</v>
      </c>
      <c r="C3" s="386"/>
      <c r="D3" s="386"/>
      <c r="E3" s="386"/>
      <c r="F3" s="386"/>
      <c r="G3" s="386"/>
      <c r="H3" s="386"/>
      <c r="I3" s="386"/>
    </row>
    <row r="4" spans="1:9" ht="28.5" thickTop="1" x14ac:dyDescent="0.35">
      <c r="A4" s="232"/>
      <c r="B4" s="162" t="s">
        <v>1</v>
      </c>
      <c r="C4" s="164" t="s">
        <v>67</v>
      </c>
      <c r="D4" s="162" t="s">
        <v>68</v>
      </c>
      <c r="E4" s="162" t="s">
        <v>3</v>
      </c>
      <c r="F4" s="162" t="s">
        <v>69</v>
      </c>
      <c r="G4" s="162" t="s">
        <v>70</v>
      </c>
      <c r="H4" s="162" t="s">
        <v>71</v>
      </c>
      <c r="I4" s="162" t="s">
        <v>72</v>
      </c>
    </row>
    <row r="5" spans="1:9" ht="95.25" customHeight="1" x14ac:dyDescent="0.35">
      <c r="B5" s="219" t="s">
        <v>97</v>
      </c>
      <c r="C5" s="220" t="s">
        <v>98</v>
      </c>
      <c r="D5" s="221" t="s">
        <v>85</v>
      </c>
      <c r="E5" s="221" t="s">
        <v>21</v>
      </c>
      <c r="F5" s="221">
        <v>95</v>
      </c>
      <c r="G5" s="221" t="s">
        <v>74</v>
      </c>
      <c r="H5" s="221" t="s">
        <v>75</v>
      </c>
      <c r="I5" s="221"/>
    </row>
    <row r="6" spans="1:9" ht="70" x14ac:dyDescent="0.3">
      <c r="B6" s="219" t="s">
        <v>97</v>
      </c>
      <c r="C6" s="222" t="s">
        <v>99</v>
      </c>
      <c r="D6" s="221" t="s">
        <v>81</v>
      </c>
      <c r="E6" s="221" t="s">
        <v>21</v>
      </c>
      <c r="F6" s="221">
        <v>97</v>
      </c>
      <c r="G6" s="221" t="s">
        <v>74</v>
      </c>
      <c r="H6" s="221" t="s">
        <v>75</v>
      </c>
      <c r="I6" s="221"/>
    </row>
    <row r="7" spans="1:9" ht="125.25" customHeight="1" x14ac:dyDescent="0.35">
      <c r="B7" s="219" t="s">
        <v>97</v>
      </c>
      <c r="C7" s="223" t="s">
        <v>100</v>
      </c>
      <c r="D7" s="221" t="s">
        <v>76</v>
      </c>
      <c r="E7" s="221" t="s">
        <v>21</v>
      </c>
      <c r="F7" s="221">
        <v>25</v>
      </c>
      <c r="G7" s="221" t="s">
        <v>74</v>
      </c>
      <c r="H7" s="221" t="s">
        <v>75</v>
      </c>
      <c r="I7" s="221"/>
    </row>
    <row r="8" spans="1:9" ht="98" x14ac:dyDescent="0.3">
      <c r="B8" s="219" t="s">
        <v>97</v>
      </c>
      <c r="C8" s="222" t="s">
        <v>101</v>
      </c>
      <c r="D8" s="221" t="s">
        <v>73</v>
      </c>
      <c r="E8" s="221" t="s">
        <v>21</v>
      </c>
      <c r="F8" s="221">
        <v>150</v>
      </c>
      <c r="G8" s="221" t="s">
        <v>74</v>
      </c>
      <c r="H8" s="221" t="s">
        <v>75</v>
      </c>
      <c r="I8" s="221"/>
    </row>
    <row r="9" spans="1:9" ht="112" x14ac:dyDescent="0.35">
      <c r="B9" s="224">
        <v>45040</v>
      </c>
      <c r="C9" s="227" t="s">
        <v>102</v>
      </c>
      <c r="D9" s="225" t="s">
        <v>83</v>
      </c>
      <c r="E9" s="225" t="s">
        <v>103</v>
      </c>
      <c r="F9" s="225">
        <v>7</v>
      </c>
      <c r="G9" s="225" t="s">
        <v>90</v>
      </c>
      <c r="H9" s="225" t="s">
        <v>80</v>
      </c>
      <c r="I9" s="225"/>
    </row>
    <row r="10" spans="1:9" ht="237" customHeight="1" x14ac:dyDescent="0.35">
      <c r="B10" s="224">
        <v>45041</v>
      </c>
      <c r="C10" s="227" t="s">
        <v>104</v>
      </c>
      <c r="D10" s="225" t="s">
        <v>76</v>
      </c>
      <c r="E10" s="225" t="s">
        <v>21</v>
      </c>
      <c r="F10" s="225">
        <v>11</v>
      </c>
      <c r="G10" s="225" t="s">
        <v>90</v>
      </c>
      <c r="H10" s="225" t="s">
        <v>80</v>
      </c>
      <c r="I10" s="225"/>
    </row>
    <row r="11" spans="1:9" ht="98" x14ac:dyDescent="0.35">
      <c r="B11" s="224">
        <v>45043</v>
      </c>
      <c r="C11" s="226" t="s">
        <v>105</v>
      </c>
      <c r="D11" s="225" t="s">
        <v>73</v>
      </c>
      <c r="E11" s="225" t="s">
        <v>21</v>
      </c>
      <c r="F11" s="225">
        <v>22</v>
      </c>
      <c r="G11" s="225" t="s">
        <v>90</v>
      </c>
      <c r="H11" s="225" t="s">
        <v>80</v>
      </c>
      <c r="I11" s="225"/>
    </row>
    <row r="12" spans="1:9" ht="28" x14ac:dyDescent="0.35">
      <c r="B12" s="224">
        <v>45050</v>
      </c>
      <c r="C12" s="226" t="s">
        <v>106</v>
      </c>
      <c r="D12" s="225" t="s">
        <v>73</v>
      </c>
      <c r="E12" s="225" t="s">
        <v>9</v>
      </c>
      <c r="F12" s="225" t="s">
        <v>11</v>
      </c>
      <c r="G12" s="225" t="s">
        <v>90</v>
      </c>
      <c r="H12" s="225" t="s">
        <v>80</v>
      </c>
      <c r="I12" s="225"/>
    </row>
    <row r="13" spans="1:9" ht="42" x14ac:dyDescent="0.35">
      <c r="B13" s="224">
        <v>44990</v>
      </c>
      <c r="C13" s="226" t="s">
        <v>107</v>
      </c>
      <c r="D13" s="225" t="s">
        <v>73</v>
      </c>
      <c r="E13" s="225" t="s">
        <v>52</v>
      </c>
      <c r="F13" s="225" t="s">
        <v>108</v>
      </c>
      <c r="G13" s="225" t="s">
        <v>74</v>
      </c>
      <c r="H13" s="225" t="s">
        <v>80</v>
      </c>
      <c r="I13" s="225"/>
    </row>
    <row r="14" spans="1:9" ht="246.75" customHeight="1" x14ac:dyDescent="0.35">
      <c r="B14" s="224">
        <v>45235</v>
      </c>
      <c r="C14" s="233" t="s">
        <v>109</v>
      </c>
      <c r="D14" s="225" t="s">
        <v>73</v>
      </c>
      <c r="E14" s="225" t="s">
        <v>9</v>
      </c>
      <c r="F14" s="225">
        <v>11</v>
      </c>
      <c r="G14" s="225" t="s">
        <v>74</v>
      </c>
      <c r="H14" s="225" t="s">
        <v>80</v>
      </c>
      <c r="I14" s="225"/>
    </row>
    <row r="15" spans="1:9" ht="198" customHeight="1" x14ac:dyDescent="0.35">
      <c r="B15" s="224">
        <v>45076</v>
      </c>
      <c r="C15" s="236" t="s">
        <v>110</v>
      </c>
      <c r="D15" s="225" t="s">
        <v>85</v>
      </c>
      <c r="E15" s="225" t="s">
        <v>52</v>
      </c>
      <c r="F15" s="225" t="s">
        <v>11</v>
      </c>
      <c r="G15" s="225" t="s">
        <v>90</v>
      </c>
      <c r="H15" s="225" t="s">
        <v>80</v>
      </c>
      <c r="I15" s="225"/>
    </row>
    <row r="16" spans="1:9" ht="174" customHeight="1" x14ac:dyDescent="0.35">
      <c r="B16" s="224" t="s">
        <v>111</v>
      </c>
      <c r="C16" s="233" t="s">
        <v>112</v>
      </c>
      <c r="D16" s="225" t="s">
        <v>85</v>
      </c>
      <c r="E16" s="225" t="s">
        <v>9</v>
      </c>
      <c r="F16" s="225">
        <v>3</v>
      </c>
      <c r="G16" s="225" t="s">
        <v>74</v>
      </c>
      <c r="H16" s="225" t="s">
        <v>75</v>
      </c>
      <c r="I16" s="225" t="s">
        <v>90</v>
      </c>
    </row>
    <row r="17" spans="2:9" ht="167.25" customHeight="1" x14ac:dyDescent="0.35">
      <c r="B17" s="224" t="s">
        <v>111</v>
      </c>
      <c r="C17" s="233" t="s">
        <v>113</v>
      </c>
      <c r="D17" s="225" t="s">
        <v>73</v>
      </c>
      <c r="E17" s="225" t="s">
        <v>9</v>
      </c>
      <c r="F17" s="225">
        <v>14</v>
      </c>
      <c r="G17" s="225" t="s">
        <v>74</v>
      </c>
      <c r="H17" s="225" t="s">
        <v>75</v>
      </c>
      <c r="I17" s="225" t="s">
        <v>90</v>
      </c>
    </row>
    <row r="18" spans="2:9" ht="28" x14ac:dyDescent="0.35">
      <c r="B18" s="224">
        <v>45078</v>
      </c>
      <c r="C18" s="226" t="s">
        <v>114</v>
      </c>
      <c r="D18" s="225" t="s">
        <v>73</v>
      </c>
      <c r="E18" s="225" t="s">
        <v>21</v>
      </c>
      <c r="F18" s="225" t="s">
        <v>115</v>
      </c>
      <c r="G18" s="225" t="s">
        <v>90</v>
      </c>
      <c r="H18" s="225" t="s">
        <v>80</v>
      </c>
      <c r="I18" s="225"/>
    </row>
    <row r="19" spans="2:9" ht="108" customHeight="1" x14ac:dyDescent="0.35">
      <c r="B19" s="224">
        <v>45085</v>
      </c>
      <c r="C19" s="226" t="s">
        <v>116</v>
      </c>
      <c r="D19" s="225" t="s">
        <v>76</v>
      </c>
      <c r="E19" s="225" t="s">
        <v>21</v>
      </c>
      <c r="F19" s="225" t="s">
        <v>117</v>
      </c>
      <c r="G19" s="225" t="s">
        <v>90</v>
      </c>
      <c r="H19" s="225" t="s">
        <v>80</v>
      </c>
      <c r="I19" s="225"/>
    </row>
    <row r="20" spans="2:9" ht="155.15" customHeight="1" x14ac:dyDescent="0.35">
      <c r="B20" s="224">
        <v>45085</v>
      </c>
      <c r="C20" s="226" t="s">
        <v>118</v>
      </c>
      <c r="D20" s="225" t="s">
        <v>73</v>
      </c>
      <c r="E20" s="225" t="s">
        <v>21</v>
      </c>
      <c r="F20" s="225">
        <v>22</v>
      </c>
      <c r="G20" s="225" t="s">
        <v>90</v>
      </c>
      <c r="H20" s="225" t="s">
        <v>80</v>
      </c>
      <c r="I20" s="225"/>
    </row>
    <row r="21" spans="2:9" ht="84" x14ac:dyDescent="0.35">
      <c r="B21" s="224">
        <v>45086</v>
      </c>
      <c r="C21" s="226" t="s">
        <v>119</v>
      </c>
      <c r="D21" s="225" t="s">
        <v>79</v>
      </c>
      <c r="E21" s="225" t="s">
        <v>21</v>
      </c>
      <c r="F21" s="225">
        <v>96</v>
      </c>
      <c r="G21" s="225" t="s">
        <v>90</v>
      </c>
      <c r="H21" s="225" t="s">
        <v>80</v>
      </c>
      <c r="I21" s="225"/>
    </row>
    <row r="22" spans="2:9" ht="225.75" customHeight="1" x14ac:dyDescent="0.35">
      <c r="B22" s="224">
        <v>45266</v>
      </c>
      <c r="C22" s="238" t="s">
        <v>120</v>
      </c>
      <c r="D22" s="225" t="s">
        <v>85</v>
      </c>
      <c r="E22" s="225" t="s">
        <v>9</v>
      </c>
      <c r="F22" s="225"/>
      <c r="G22" s="225" t="s">
        <v>74</v>
      </c>
      <c r="H22" s="225" t="s">
        <v>75</v>
      </c>
      <c r="I22" s="225"/>
    </row>
    <row r="23" spans="2:9" ht="42" x14ac:dyDescent="0.35">
      <c r="B23" s="224">
        <v>45090</v>
      </c>
      <c r="C23" s="226" t="s">
        <v>121</v>
      </c>
      <c r="D23" s="225" t="s">
        <v>73</v>
      </c>
      <c r="E23" s="225" t="s">
        <v>21</v>
      </c>
      <c r="F23" s="225" t="s">
        <v>122</v>
      </c>
      <c r="G23" s="225" t="s">
        <v>90</v>
      </c>
      <c r="H23" s="225" t="s">
        <v>80</v>
      </c>
      <c r="I23" s="225"/>
    </row>
    <row r="24" spans="2:9" ht="56" x14ac:dyDescent="0.35">
      <c r="B24" s="224">
        <v>45099</v>
      </c>
      <c r="C24" s="226" t="s">
        <v>123</v>
      </c>
      <c r="D24" s="225" t="s">
        <v>76</v>
      </c>
      <c r="E24" s="225" t="s">
        <v>21</v>
      </c>
      <c r="F24" s="225">
        <v>26</v>
      </c>
      <c r="G24" s="225" t="s">
        <v>90</v>
      </c>
      <c r="H24" s="225" t="s">
        <v>80</v>
      </c>
      <c r="I24" s="225"/>
    </row>
    <row r="25" spans="2:9" ht="112" x14ac:dyDescent="0.35">
      <c r="B25" s="228">
        <v>45106</v>
      </c>
      <c r="C25" s="237" t="s">
        <v>124</v>
      </c>
      <c r="D25" s="230" t="s">
        <v>73</v>
      </c>
      <c r="E25" s="230" t="s">
        <v>21</v>
      </c>
      <c r="F25" s="230" t="s">
        <v>125</v>
      </c>
      <c r="G25" s="230" t="s">
        <v>82</v>
      </c>
      <c r="H25" s="230" t="s">
        <v>75</v>
      </c>
      <c r="I25" s="230"/>
    </row>
    <row r="26" spans="2:9" ht="70" x14ac:dyDescent="0.35">
      <c r="B26" s="228">
        <v>45106</v>
      </c>
      <c r="C26" s="237" t="s">
        <v>126</v>
      </c>
      <c r="D26" s="230" t="s">
        <v>81</v>
      </c>
      <c r="E26" s="230" t="s">
        <v>21</v>
      </c>
      <c r="F26" s="230">
        <v>98</v>
      </c>
      <c r="G26" s="230" t="s">
        <v>82</v>
      </c>
      <c r="H26" s="230" t="s">
        <v>80</v>
      </c>
      <c r="I26" s="230"/>
    </row>
    <row r="27" spans="2:9" x14ac:dyDescent="0.35">
      <c r="B27" s="228"/>
      <c r="C27" s="229"/>
      <c r="D27" s="230"/>
      <c r="E27" s="230"/>
      <c r="F27" s="230"/>
      <c r="G27" s="230"/>
      <c r="H27" s="230"/>
      <c r="I27" s="230"/>
    </row>
    <row r="28" spans="2:9" x14ac:dyDescent="0.35">
      <c r="B28" s="228"/>
      <c r="C28" s="229"/>
      <c r="D28" s="230"/>
      <c r="E28" s="230"/>
      <c r="F28" s="230"/>
      <c r="G28" s="230"/>
      <c r="H28" s="230"/>
      <c r="I28" s="230"/>
    </row>
    <row r="29" spans="2:9" x14ac:dyDescent="0.35">
      <c r="B29" s="228"/>
      <c r="C29" s="229"/>
      <c r="D29" s="230"/>
      <c r="E29" s="230"/>
      <c r="F29" s="230"/>
      <c r="G29" s="230"/>
      <c r="H29" s="230"/>
      <c r="I29" s="230"/>
    </row>
    <row r="30" spans="2:9" x14ac:dyDescent="0.35">
      <c r="B30" s="228"/>
      <c r="C30" s="229"/>
      <c r="D30" s="230"/>
      <c r="E30" s="230"/>
      <c r="F30" s="230"/>
      <c r="G30" s="230"/>
      <c r="H30" s="230"/>
      <c r="I30" s="230"/>
    </row>
    <row r="31" spans="2:9" x14ac:dyDescent="0.35">
      <c r="B31" s="228"/>
      <c r="C31" s="229"/>
      <c r="D31" s="230"/>
      <c r="E31" s="230"/>
      <c r="F31" s="230"/>
      <c r="G31" s="230"/>
      <c r="H31" s="230"/>
      <c r="I31" s="230"/>
    </row>
    <row r="32" spans="2:9" x14ac:dyDescent="0.35">
      <c r="B32" s="228"/>
      <c r="C32" s="229"/>
      <c r="D32" s="230"/>
      <c r="E32" s="230"/>
      <c r="F32" s="230"/>
      <c r="G32" s="230"/>
      <c r="H32" s="230"/>
      <c r="I32" s="230"/>
    </row>
    <row r="33" spans="2:9" x14ac:dyDescent="0.35">
      <c r="B33" s="228"/>
      <c r="C33" s="229"/>
      <c r="D33" s="230"/>
      <c r="E33" s="230"/>
      <c r="F33" s="230"/>
      <c r="G33" s="230"/>
      <c r="H33" s="230"/>
      <c r="I33" s="230"/>
    </row>
    <row r="34" spans="2:9" x14ac:dyDescent="0.35">
      <c r="B34" s="228"/>
      <c r="C34" s="229"/>
      <c r="D34" s="230"/>
      <c r="E34" s="230"/>
      <c r="F34" s="230"/>
      <c r="G34" s="230"/>
      <c r="H34" s="230"/>
      <c r="I34" s="230"/>
    </row>
    <row r="35" spans="2:9" x14ac:dyDescent="0.35">
      <c r="B35" s="228"/>
      <c r="C35" s="229"/>
      <c r="D35" s="230"/>
      <c r="E35" s="230"/>
      <c r="F35" s="230"/>
      <c r="G35" s="230"/>
      <c r="H35" s="230"/>
      <c r="I35" s="230"/>
    </row>
    <row r="36" spans="2:9" x14ac:dyDescent="0.35">
      <c r="B36" s="228"/>
      <c r="C36" s="229"/>
      <c r="D36" s="230"/>
      <c r="E36" s="230"/>
      <c r="F36" s="230"/>
      <c r="G36" s="230"/>
      <c r="H36" s="230"/>
      <c r="I36" s="230"/>
    </row>
    <row r="37" spans="2:9" x14ac:dyDescent="0.35">
      <c r="B37" s="228"/>
      <c r="C37" s="229"/>
      <c r="D37" s="230"/>
      <c r="E37" s="230"/>
      <c r="F37" s="230"/>
      <c r="G37" s="230"/>
      <c r="H37" s="230"/>
      <c r="I37" s="230"/>
    </row>
    <row r="38" spans="2:9" x14ac:dyDescent="0.35">
      <c r="B38" s="228"/>
      <c r="C38" s="229"/>
      <c r="D38" s="230"/>
      <c r="E38" s="230"/>
      <c r="F38" s="230"/>
      <c r="G38" s="230"/>
      <c r="H38" s="230"/>
      <c r="I38" s="230"/>
    </row>
    <row r="39" spans="2:9" x14ac:dyDescent="0.35">
      <c r="B39" s="228"/>
      <c r="C39" s="229"/>
      <c r="D39" s="230"/>
      <c r="E39" s="230"/>
      <c r="F39" s="230"/>
      <c r="G39" s="230"/>
      <c r="H39" s="230"/>
      <c r="I39" s="230"/>
    </row>
    <row r="40" spans="2:9" x14ac:dyDescent="0.35">
      <c r="B40" s="228"/>
      <c r="C40" s="229"/>
      <c r="D40" s="230"/>
      <c r="E40" s="230"/>
      <c r="F40" s="230"/>
      <c r="G40" s="230"/>
      <c r="H40" s="230"/>
      <c r="I40" s="230"/>
    </row>
    <row r="41" spans="2:9" x14ac:dyDescent="0.35">
      <c r="B41" s="228"/>
      <c r="C41" s="229"/>
      <c r="D41" s="230"/>
      <c r="E41" s="230"/>
      <c r="F41" s="230"/>
      <c r="G41" s="230"/>
      <c r="H41" s="230"/>
      <c r="I41" s="230"/>
    </row>
    <row r="42" spans="2:9" x14ac:dyDescent="0.35">
      <c r="B42" s="228"/>
      <c r="C42" s="229"/>
      <c r="D42" s="230"/>
      <c r="E42" s="230"/>
      <c r="F42" s="230"/>
      <c r="G42" s="230"/>
      <c r="H42" s="230"/>
      <c r="I42" s="230"/>
    </row>
    <row r="43" spans="2:9" x14ac:dyDescent="0.35">
      <c r="B43" s="228"/>
      <c r="C43" s="229"/>
      <c r="D43" s="230"/>
      <c r="E43" s="230"/>
      <c r="F43" s="230"/>
      <c r="G43" s="230"/>
      <c r="H43" s="230"/>
      <c r="I43" s="230"/>
    </row>
    <row r="44" spans="2:9" x14ac:dyDescent="0.35">
      <c r="B44" s="228"/>
      <c r="C44" s="229"/>
      <c r="D44" s="230"/>
      <c r="E44" s="230"/>
      <c r="F44" s="230"/>
      <c r="G44" s="230"/>
      <c r="H44" s="230"/>
      <c r="I44" s="230"/>
    </row>
    <row r="45" spans="2:9" x14ac:dyDescent="0.35">
      <c r="B45" s="228"/>
      <c r="C45" s="229"/>
      <c r="D45" s="230"/>
      <c r="E45" s="230"/>
      <c r="F45" s="230"/>
      <c r="G45" s="230"/>
      <c r="H45" s="230"/>
      <c r="I45" s="230"/>
    </row>
    <row r="46" spans="2:9" x14ac:dyDescent="0.35">
      <c r="B46" s="228"/>
      <c r="C46" s="229"/>
      <c r="D46" s="230"/>
      <c r="E46" s="230"/>
      <c r="F46" s="230"/>
      <c r="G46" s="230"/>
      <c r="H46" s="230"/>
      <c r="I46" s="230"/>
    </row>
    <row r="47" spans="2:9" x14ac:dyDescent="0.35">
      <c r="B47" s="228"/>
      <c r="C47" s="229"/>
      <c r="D47" s="230"/>
      <c r="E47" s="230"/>
      <c r="F47" s="230"/>
      <c r="G47" s="230"/>
      <c r="H47" s="230"/>
      <c r="I47" s="230"/>
    </row>
    <row r="48" spans="2:9" x14ac:dyDescent="0.35">
      <c r="B48" s="228"/>
      <c r="C48" s="229"/>
      <c r="D48" s="230"/>
      <c r="E48" s="230"/>
      <c r="F48" s="230"/>
      <c r="G48" s="230"/>
      <c r="H48" s="230"/>
      <c r="I48" s="230"/>
    </row>
    <row r="49" spans="2:9" x14ac:dyDescent="0.35">
      <c r="B49" s="228"/>
      <c r="C49" s="229"/>
      <c r="D49" s="230"/>
      <c r="E49" s="230"/>
      <c r="F49" s="230"/>
      <c r="G49" s="230"/>
      <c r="H49" s="230"/>
      <c r="I49" s="230"/>
    </row>
    <row r="50" spans="2:9" x14ac:dyDescent="0.35">
      <c r="B50" s="228"/>
      <c r="C50" s="229"/>
      <c r="D50" s="230"/>
      <c r="E50" s="230"/>
      <c r="F50" s="230"/>
      <c r="G50" s="230"/>
      <c r="H50" s="230"/>
      <c r="I50" s="230"/>
    </row>
    <row r="51" spans="2:9" x14ac:dyDescent="0.35">
      <c r="B51" s="228"/>
      <c r="C51" s="229"/>
      <c r="D51" s="230"/>
      <c r="E51" s="230"/>
      <c r="F51" s="230"/>
      <c r="G51" s="230"/>
      <c r="H51" s="230"/>
      <c r="I51" s="230"/>
    </row>
    <row r="52" spans="2:9" x14ac:dyDescent="0.35">
      <c r="B52" s="228"/>
      <c r="C52" s="229"/>
      <c r="D52" s="230"/>
      <c r="E52" s="230"/>
      <c r="F52" s="230"/>
      <c r="G52" s="230"/>
      <c r="H52" s="230"/>
      <c r="I52" s="230"/>
    </row>
    <row r="53" spans="2:9" x14ac:dyDescent="0.35">
      <c r="B53" s="228"/>
      <c r="C53" s="229"/>
      <c r="D53" s="230"/>
      <c r="E53" s="230"/>
      <c r="F53" s="230"/>
      <c r="G53" s="230"/>
      <c r="H53" s="230"/>
      <c r="I53" s="230"/>
    </row>
    <row r="54" spans="2:9" x14ac:dyDescent="0.35">
      <c r="B54" s="228"/>
      <c r="C54" s="229"/>
      <c r="D54" s="230"/>
      <c r="E54" s="230"/>
      <c r="F54" s="230"/>
      <c r="G54" s="230"/>
      <c r="H54" s="230"/>
      <c r="I54" s="230"/>
    </row>
    <row r="55" spans="2:9" x14ac:dyDescent="0.35">
      <c r="B55" s="228"/>
      <c r="C55" s="229"/>
      <c r="D55" s="230"/>
      <c r="E55" s="230"/>
      <c r="F55" s="230"/>
      <c r="G55" s="230"/>
      <c r="H55" s="230"/>
      <c r="I55" s="230"/>
    </row>
    <row r="56" spans="2:9" x14ac:dyDescent="0.35">
      <c r="B56" s="228"/>
      <c r="C56" s="229"/>
      <c r="D56" s="230"/>
      <c r="E56" s="230"/>
      <c r="F56" s="230"/>
      <c r="G56" s="230"/>
      <c r="H56" s="230"/>
      <c r="I56" s="230"/>
    </row>
    <row r="57" spans="2:9" x14ac:dyDescent="0.35">
      <c r="B57" s="228"/>
      <c r="C57" s="229"/>
      <c r="D57" s="230"/>
      <c r="E57" s="230"/>
      <c r="F57" s="230"/>
      <c r="G57" s="230"/>
      <c r="H57" s="230"/>
      <c r="I57" s="230"/>
    </row>
    <row r="58" spans="2:9" x14ac:dyDescent="0.35">
      <c r="B58" s="228"/>
      <c r="C58" s="229"/>
      <c r="D58" s="230"/>
      <c r="E58" s="230"/>
      <c r="F58" s="230"/>
      <c r="G58" s="230"/>
      <c r="H58" s="230"/>
      <c r="I58" s="230"/>
    </row>
    <row r="59" spans="2:9" x14ac:dyDescent="0.35">
      <c r="B59" s="228"/>
      <c r="C59" s="229"/>
      <c r="D59" s="230"/>
      <c r="E59" s="230"/>
      <c r="F59" s="230"/>
      <c r="G59" s="230"/>
      <c r="H59" s="230"/>
      <c r="I59" s="230"/>
    </row>
    <row r="60" spans="2:9" x14ac:dyDescent="0.35">
      <c r="B60" s="228"/>
      <c r="C60" s="229"/>
      <c r="D60" s="230"/>
      <c r="E60" s="230"/>
      <c r="F60" s="230"/>
      <c r="G60" s="230"/>
      <c r="H60" s="230"/>
      <c r="I60" s="230"/>
    </row>
    <row r="61" spans="2:9" x14ac:dyDescent="0.35">
      <c r="B61" s="228"/>
      <c r="C61" s="229"/>
      <c r="D61" s="230"/>
      <c r="E61" s="230"/>
      <c r="F61" s="230"/>
      <c r="G61" s="230"/>
      <c r="H61" s="230"/>
      <c r="I61" s="230"/>
    </row>
    <row r="62" spans="2:9" x14ac:dyDescent="0.35">
      <c r="B62" s="228"/>
      <c r="C62" s="229"/>
      <c r="D62" s="230"/>
      <c r="E62" s="230"/>
      <c r="F62" s="230"/>
      <c r="G62" s="230"/>
      <c r="H62" s="230"/>
      <c r="I62" s="230"/>
    </row>
    <row r="63" spans="2:9" x14ac:dyDescent="0.35">
      <c r="B63" s="228"/>
      <c r="C63" s="229"/>
      <c r="D63" s="230"/>
      <c r="E63" s="230"/>
      <c r="F63" s="230"/>
      <c r="G63" s="230"/>
      <c r="H63" s="230"/>
      <c r="I63" s="230"/>
    </row>
    <row r="64" spans="2:9" x14ac:dyDescent="0.35">
      <c r="B64" s="228"/>
      <c r="C64" s="229"/>
      <c r="D64" s="230"/>
      <c r="E64" s="230"/>
      <c r="F64" s="230"/>
      <c r="G64" s="230"/>
      <c r="H64" s="230"/>
      <c r="I64" s="230"/>
    </row>
    <row r="65" spans="2:9" x14ac:dyDescent="0.35">
      <c r="B65" s="228"/>
      <c r="C65" s="229"/>
      <c r="D65" s="230"/>
      <c r="E65" s="230"/>
      <c r="F65" s="230"/>
      <c r="G65" s="230"/>
      <c r="H65" s="230"/>
      <c r="I65" s="230"/>
    </row>
    <row r="66" spans="2:9" x14ac:dyDescent="0.35">
      <c r="B66" s="228"/>
      <c r="C66" s="229"/>
      <c r="D66" s="230"/>
      <c r="E66" s="230"/>
      <c r="F66" s="230"/>
      <c r="G66" s="230"/>
      <c r="H66" s="230"/>
      <c r="I66" s="230"/>
    </row>
    <row r="67" spans="2:9" x14ac:dyDescent="0.35">
      <c r="B67" s="228"/>
      <c r="C67" s="229"/>
      <c r="D67" s="230"/>
      <c r="E67" s="230"/>
      <c r="F67" s="230"/>
      <c r="G67" s="230"/>
      <c r="H67" s="230"/>
      <c r="I67" s="230"/>
    </row>
    <row r="68" spans="2:9" x14ac:dyDescent="0.35">
      <c r="B68" s="228"/>
      <c r="C68" s="229"/>
      <c r="D68" s="230"/>
      <c r="E68" s="230"/>
      <c r="F68" s="230"/>
      <c r="G68" s="230"/>
      <c r="H68" s="230"/>
      <c r="I68" s="230"/>
    </row>
    <row r="69" spans="2:9" ht="41.9" customHeight="1" x14ac:dyDescent="0.35">
      <c r="B69" s="228"/>
      <c r="C69" s="229"/>
      <c r="D69" s="230"/>
      <c r="E69" s="230"/>
      <c r="F69" s="230"/>
      <c r="G69" s="230"/>
      <c r="H69" s="230"/>
      <c r="I69" s="230"/>
    </row>
    <row r="70" spans="2:9" x14ac:dyDescent="0.35">
      <c r="B70" s="228"/>
      <c r="C70" s="229"/>
      <c r="D70" s="230"/>
      <c r="E70" s="230"/>
      <c r="F70" s="230"/>
      <c r="G70" s="230"/>
      <c r="H70" s="230"/>
      <c r="I70" s="230"/>
    </row>
    <row r="71" spans="2:9" x14ac:dyDescent="0.35">
      <c r="B71" s="228"/>
      <c r="C71" s="229"/>
      <c r="D71" s="230"/>
      <c r="E71" s="230"/>
      <c r="F71" s="230"/>
      <c r="G71" s="230"/>
      <c r="H71" s="230"/>
      <c r="I71" s="230"/>
    </row>
    <row r="72" spans="2:9" x14ac:dyDescent="0.35">
      <c r="B72" s="228"/>
      <c r="C72" s="229"/>
      <c r="D72" s="230"/>
      <c r="E72" s="230"/>
      <c r="F72" s="230"/>
      <c r="G72" s="230"/>
      <c r="H72" s="230"/>
      <c r="I72" s="230"/>
    </row>
    <row r="73" spans="2:9" x14ac:dyDescent="0.35">
      <c r="B73" s="228"/>
      <c r="C73" s="229"/>
      <c r="D73" s="230"/>
      <c r="E73" s="230"/>
      <c r="F73" s="230"/>
      <c r="G73" s="230"/>
      <c r="H73" s="230"/>
      <c r="I73" s="230"/>
    </row>
    <row r="74" spans="2:9" x14ac:dyDescent="0.35">
      <c r="B74" s="228"/>
      <c r="C74" s="229"/>
      <c r="D74" s="230"/>
      <c r="E74" s="230"/>
      <c r="F74" s="230"/>
      <c r="G74" s="230"/>
      <c r="H74" s="230"/>
      <c r="I74" s="230"/>
    </row>
    <row r="75" spans="2:9" x14ac:dyDescent="0.35">
      <c r="B75" s="228"/>
      <c r="C75" s="229"/>
      <c r="D75" s="230"/>
      <c r="E75" s="230"/>
      <c r="F75" s="230"/>
      <c r="G75" s="230"/>
      <c r="H75" s="230"/>
      <c r="I75" s="230"/>
    </row>
    <row r="76" spans="2:9" x14ac:dyDescent="0.35">
      <c r="B76" s="228"/>
      <c r="C76" s="229"/>
      <c r="D76" s="230"/>
      <c r="E76" s="230"/>
      <c r="F76" s="230"/>
      <c r="G76" s="230"/>
      <c r="H76" s="230"/>
      <c r="I76" s="230"/>
    </row>
    <row r="77" spans="2:9" x14ac:dyDescent="0.35">
      <c r="B77" s="228"/>
      <c r="C77" s="229"/>
      <c r="D77" s="230"/>
      <c r="E77" s="230"/>
      <c r="F77" s="230"/>
      <c r="G77" s="230"/>
      <c r="H77" s="230"/>
      <c r="I77" s="230"/>
    </row>
    <row r="78" spans="2:9" x14ac:dyDescent="0.35">
      <c r="B78" s="228"/>
      <c r="C78" s="229"/>
      <c r="D78" s="230"/>
      <c r="E78" s="230"/>
      <c r="F78" s="230"/>
      <c r="G78" s="230"/>
      <c r="H78" s="230"/>
      <c r="I78" s="230"/>
    </row>
    <row r="79" spans="2:9" x14ac:dyDescent="0.35">
      <c r="B79" s="228"/>
      <c r="C79" s="229"/>
      <c r="D79" s="230"/>
      <c r="E79" s="230"/>
      <c r="F79" s="230"/>
      <c r="G79" s="230"/>
      <c r="H79" s="230"/>
      <c r="I79" s="230"/>
    </row>
    <row r="80" spans="2:9" x14ac:dyDescent="0.35">
      <c r="B80" s="228"/>
      <c r="C80" s="229"/>
      <c r="D80" s="230"/>
      <c r="E80" s="230"/>
      <c r="F80" s="230"/>
      <c r="G80" s="230"/>
      <c r="H80" s="230"/>
      <c r="I80" s="230"/>
    </row>
    <row r="81" spans="2:9" x14ac:dyDescent="0.35">
      <c r="B81" s="228"/>
      <c r="C81" s="229"/>
      <c r="D81" s="230"/>
      <c r="E81" s="230"/>
      <c r="F81" s="230"/>
      <c r="G81" s="230"/>
      <c r="H81" s="230"/>
      <c r="I81" s="230"/>
    </row>
    <row r="82" spans="2:9" x14ac:dyDescent="0.35">
      <c r="B82" s="228"/>
      <c r="C82" s="229"/>
      <c r="D82" s="230"/>
      <c r="E82" s="230"/>
      <c r="F82" s="230"/>
      <c r="G82" s="230"/>
      <c r="H82" s="230"/>
      <c r="I82" s="230"/>
    </row>
    <row r="83" spans="2:9" x14ac:dyDescent="0.35">
      <c r="B83" s="228"/>
      <c r="C83" s="229"/>
      <c r="D83" s="230"/>
      <c r="E83" s="230"/>
      <c r="F83" s="230"/>
      <c r="G83" s="230"/>
      <c r="H83" s="230"/>
      <c r="I83" s="230"/>
    </row>
    <row r="84" spans="2:9" x14ac:dyDescent="0.35">
      <c r="B84" s="228"/>
      <c r="C84" s="229"/>
      <c r="D84" s="230"/>
      <c r="E84" s="230"/>
      <c r="F84" s="230"/>
      <c r="G84" s="230"/>
      <c r="H84" s="230"/>
      <c r="I84" s="230"/>
    </row>
    <row r="85" spans="2:9" x14ac:dyDescent="0.35">
      <c r="B85" s="228"/>
      <c r="C85" s="229"/>
      <c r="D85" s="230"/>
      <c r="E85" s="230"/>
      <c r="F85" s="230"/>
      <c r="G85" s="230"/>
      <c r="H85" s="230"/>
      <c r="I85" s="230"/>
    </row>
    <row r="86" spans="2:9" x14ac:dyDescent="0.35">
      <c r="B86" s="228"/>
      <c r="C86" s="229"/>
      <c r="D86" s="230"/>
      <c r="E86" s="230"/>
      <c r="F86" s="230"/>
      <c r="G86" s="230"/>
      <c r="H86" s="230"/>
      <c r="I86" s="230"/>
    </row>
    <row r="87" spans="2:9" x14ac:dyDescent="0.35">
      <c r="B87" s="228"/>
      <c r="C87" s="229"/>
      <c r="D87" s="230"/>
      <c r="E87" s="230"/>
      <c r="F87" s="230"/>
      <c r="G87" s="230"/>
      <c r="H87" s="230"/>
      <c r="I87" s="230"/>
    </row>
    <row r="88" spans="2:9" x14ac:dyDescent="0.35">
      <c r="B88" s="228"/>
      <c r="C88" s="229"/>
      <c r="D88" s="230"/>
      <c r="E88" s="230"/>
      <c r="F88" s="230"/>
      <c r="G88" s="230"/>
      <c r="H88" s="230"/>
      <c r="I88" s="230"/>
    </row>
    <row r="89" spans="2:9" x14ac:dyDescent="0.35">
      <c r="B89" s="228"/>
      <c r="C89" s="229"/>
      <c r="D89" s="230"/>
      <c r="E89" s="230"/>
      <c r="F89" s="230"/>
      <c r="G89" s="230"/>
      <c r="H89" s="230"/>
      <c r="I89" s="230"/>
    </row>
    <row r="90" spans="2:9" x14ac:dyDescent="0.35">
      <c r="B90" s="228"/>
      <c r="C90" s="229"/>
      <c r="D90" s="230"/>
      <c r="E90" s="230"/>
      <c r="F90" s="230"/>
      <c r="G90" s="230"/>
      <c r="H90" s="230"/>
      <c r="I90" s="230"/>
    </row>
    <row r="91" spans="2:9" x14ac:dyDescent="0.35">
      <c r="B91" s="228"/>
      <c r="C91" s="229"/>
      <c r="D91" s="230"/>
      <c r="E91" s="230"/>
      <c r="F91" s="230"/>
      <c r="G91" s="230"/>
      <c r="H91" s="230"/>
      <c r="I91" s="230"/>
    </row>
    <row r="92" spans="2:9" x14ac:dyDescent="0.35">
      <c r="B92" s="228"/>
      <c r="C92" s="229"/>
      <c r="D92" s="230"/>
      <c r="E92" s="230"/>
      <c r="F92" s="230"/>
      <c r="G92" s="230"/>
      <c r="H92" s="230"/>
      <c r="I92" s="230"/>
    </row>
    <row r="93" spans="2:9" x14ac:dyDescent="0.35">
      <c r="B93" s="228"/>
      <c r="C93" s="229"/>
      <c r="D93" s="230"/>
      <c r="E93" s="230"/>
      <c r="F93" s="230"/>
      <c r="G93" s="230"/>
      <c r="H93" s="230"/>
      <c r="I93" s="230"/>
    </row>
    <row r="94" spans="2:9" x14ac:dyDescent="0.35">
      <c r="B94" s="228"/>
      <c r="C94" s="229"/>
      <c r="D94" s="230"/>
      <c r="E94" s="230"/>
      <c r="F94" s="230"/>
      <c r="G94" s="230"/>
      <c r="H94" s="230"/>
      <c r="I94" s="230"/>
    </row>
    <row r="95" spans="2:9" x14ac:dyDescent="0.35">
      <c r="B95" s="228"/>
      <c r="C95" s="229"/>
      <c r="D95" s="230"/>
      <c r="E95" s="230"/>
      <c r="F95" s="230"/>
      <c r="G95" s="230"/>
      <c r="H95" s="230"/>
      <c r="I95" s="230"/>
    </row>
    <row r="96" spans="2:9" x14ac:dyDescent="0.35">
      <c r="B96" s="228"/>
      <c r="C96" s="229"/>
      <c r="D96" s="230"/>
      <c r="E96" s="230"/>
      <c r="F96" s="230"/>
      <c r="G96" s="230"/>
      <c r="H96" s="230"/>
      <c r="I96" s="230"/>
    </row>
    <row r="97" spans="2:9" x14ac:dyDescent="0.35">
      <c r="B97" s="228"/>
      <c r="C97" s="229"/>
      <c r="D97" s="230"/>
      <c r="E97" s="230"/>
      <c r="F97" s="230"/>
      <c r="G97" s="230"/>
      <c r="H97" s="230"/>
      <c r="I97" s="230"/>
    </row>
    <row r="98" spans="2:9" x14ac:dyDescent="0.35">
      <c r="B98" s="228"/>
      <c r="C98" s="229"/>
      <c r="D98" s="230"/>
      <c r="E98" s="230"/>
      <c r="F98" s="230"/>
      <c r="G98" s="230"/>
      <c r="H98" s="230"/>
      <c r="I98" s="230"/>
    </row>
    <row r="99" spans="2:9" x14ac:dyDescent="0.35">
      <c r="B99" s="228"/>
      <c r="C99" s="229"/>
      <c r="D99" s="230"/>
      <c r="E99" s="230"/>
      <c r="F99" s="230"/>
      <c r="G99" s="230"/>
      <c r="H99" s="230"/>
      <c r="I99" s="230"/>
    </row>
    <row r="100" spans="2:9" x14ac:dyDescent="0.35">
      <c r="B100" s="228"/>
      <c r="C100" s="229"/>
      <c r="D100" s="230"/>
      <c r="E100" s="230"/>
      <c r="F100" s="230"/>
      <c r="G100" s="230"/>
      <c r="H100" s="230"/>
      <c r="I100" s="230"/>
    </row>
    <row r="101" spans="2:9" x14ac:dyDescent="0.35">
      <c r="B101" s="228"/>
      <c r="C101" s="229"/>
      <c r="D101" s="230"/>
      <c r="E101" s="230"/>
      <c r="F101" s="230"/>
      <c r="G101" s="230"/>
      <c r="H101" s="230"/>
      <c r="I101" s="230"/>
    </row>
    <row r="102" spans="2:9" x14ac:dyDescent="0.35">
      <c r="B102" s="228"/>
      <c r="C102" s="229"/>
      <c r="D102" s="230"/>
      <c r="E102" s="230"/>
      <c r="F102" s="230"/>
      <c r="G102" s="230"/>
      <c r="H102" s="230"/>
      <c r="I102" s="230"/>
    </row>
    <row r="103" spans="2:9" x14ac:dyDescent="0.35">
      <c r="B103" s="228"/>
      <c r="C103" s="229"/>
      <c r="D103" s="230"/>
      <c r="E103" s="230"/>
      <c r="F103" s="230"/>
      <c r="G103" s="230"/>
      <c r="H103" s="230"/>
      <c r="I103" s="230"/>
    </row>
    <row r="104" spans="2:9" x14ac:dyDescent="0.35">
      <c r="B104" s="228"/>
      <c r="C104" s="229"/>
      <c r="D104" s="230"/>
      <c r="E104" s="230"/>
      <c r="F104" s="230"/>
      <c r="G104" s="230"/>
      <c r="H104" s="230"/>
      <c r="I104" s="230"/>
    </row>
    <row r="105" spans="2:9" x14ac:dyDescent="0.35">
      <c r="B105" s="228"/>
      <c r="C105" s="229"/>
      <c r="D105" s="230"/>
      <c r="E105" s="230"/>
      <c r="F105" s="230"/>
      <c r="G105" s="230"/>
      <c r="H105" s="230"/>
      <c r="I105" s="230"/>
    </row>
    <row r="106" spans="2:9" x14ac:dyDescent="0.35">
      <c r="B106" s="228"/>
      <c r="C106" s="229"/>
      <c r="D106" s="230"/>
      <c r="E106" s="230"/>
      <c r="F106" s="230"/>
      <c r="G106" s="230"/>
      <c r="H106" s="230"/>
      <c r="I106" s="230"/>
    </row>
    <row r="107" spans="2:9" x14ac:dyDescent="0.35">
      <c r="B107" s="228"/>
      <c r="C107" s="229"/>
      <c r="D107" s="230"/>
      <c r="E107" s="230"/>
      <c r="F107" s="230"/>
      <c r="G107" s="230"/>
      <c r="H107" s="230"/>
      <c r="I107" s="230"/>
    </row>
    <row r="108" spans="2:9" x14ac:dyDescent="0.35">
      <c r="B108" s="228"/>
      <c r="C108" s="229"/>
      <c r="D108" s="230"/>
      <c r="E108" s="230"/>
      <c r="F108" s="230"/>
      <c r="G108" s="230"/>
      <c r="H108" s="230"/>
      <c r="I108" s="230"/>
    </row>
    <row r="109" spans="2:9" x14ac:dyDescent="0.35">
      <c r="B109" s="228"/>
      <c r="C109" s="229"/>
      <c r="D109" s="230"/>
      <c r="E109" s="230"/>
      <c r="F109" s="230"/>
      <c r="G109" s="230"/>
      <c r="H109" s="230"/>
      <c r="I109" s="230"/>
    </row>
    <row r="110" spans="2:9" x14ac:dyDescent="0.35">
      <c r="B110" s="228"/>
      <c r="C110" s="229"/>
      <c r="D110" s="230"/>
      <c r="E110" s="230"/>
      <c r="F110" s="230"/>
      <c r="G110" s="230"/>
      <c r="H110" s="230"/>
      <c r="I110" s="230"/>
    </row>
    <row r="111" spans="2:9" x14ac:dyDescent="0.35">
      <c r="B111" s="228"/>
      <c r="C111" s="229"/>
      <c r="D111" s="230"/>
      <c r="E111" s="230"/>
      <c r="F111" s="230"/>
      <c r="G111" s="230"/>
      <c r="H111" s="230"/>
      <c r="I111" s="230"/>
    </row>
    <row r="112" spans="2:9" x14ac:dyDescent="0.35">
      <c r="B112" s="228"/>
      <c r="C112" s="229"/>
      <c r="D112" s="230"/>
      <c r="E112" s="230"/>
      <c r="F112" s="230"/>
      <c r="G112" s="230"/>
      <c r="H112" s="230"/>
      <c r="I112" s="230"/>
    </row>
    <row r="113" spans="2:9" x14ac:dyDescent="0.35">
      <c r="B113" s="228"/>
      <c r="C113" s="229"/>
      <c r="D113" s="230"/>
      <c r="E113" s="230"/>
      <c r="F113" s="230"/>
      <c r="G113" s="230"/>
      <c r="H113" s="230"/>
      <c r="I113" s="230"/>
    </row>
    <row r="114" spans="2:9" x14ac:dyDescent="0.35">
      <c r="B114" s="228"/>
      <c r="C114" s="229"/>
      <c r="D114" s="230"/>
      <c r="E114" s="230"/>
      <c r="F114" s="230"/>
      <c r="G114" s="230"/>
      <c r="H114" s="230"/>
      <c r="I114" s="230"/>
    </row>
    <row r="115" spans="2:9" x14ac:dyDescent="0.35">
      <c r="B115" s="228"/>
      <c r="C115" s="229"/>
      <c r="D115" s="230"/>
      <c r="E115" s="230"/>
      <c r="F115" s="230"/>
      <c r="G115" s="230"/>
      <c r="H115" s="230"/>
      <c r="I115" s="230"/>
    </row>
    <row r="116" spans="2:9" x14ac:dyDescent="0.35">
      <c r="B116" s="228"/>
      <c r="C116" s="229"/>
      <c r="D116" s="230"/>
      <c r="E116" s="230"/>
      <c r="F116" s="230"/>
      <c r="G116" s="230"/>
      <c r="H116" s="230"/>
      <c r="I116" s="230"/>
    </row>
    <row r="117" spans="2:9" x14ac:dyDescent="0.35">
      <c r="B117" s="228"/>
      <c r="C117" s="229"/>
      <c r="D117" s="230"/>
      <c r="E117" s="230"/>
      <c r="F117" s="230"/>
      <c r="G117" s="230"/>
      <c r="H117" s="230"/>
      <c r="I117" s="230"/>
    </row>
    <row r="118" spans="2:9" x14ac:dyDescent="0.35">
      <c r="B118" s="228"/>
      <c r="C118" s="229"/>
      <c r="D118" s="230"/>
      <c r="E118" s="230"/>
      <c r="F118" s="230"/>
      <c r="G118" s="230"/>
      <c r="H118" s="230"/>
      <c r="I118" s="230"/>
    </row>
    <row r="119" spans="2:9" x14ac:dyDescent="0.35">
      <c r="B119" s="228"/>
      <c r="C119" s="229"/>
      <c r="D119" s="230"/>
      <c r="E119" s="230"/>
      <c r="F119" s="230"/>
      <c r="G119" s="230"/>
      <c r="H119" s="230"/>
      <c r="I119" s="230"/>
    </row>
    <row r="120" spans="2:9" x14ac:dyDescent="0.35">
      <c r="B120" s="228"/>
      <c r="C120" s="229"/>
      <c r="D120" s="230"/>
      <c r="E120" s="230"/>
      <c r="F120" s="230"/>
      <c r="G120" s="230"/>
      <c r="H120" s="230"/>
      <c r="I120" s="230"/>
    </row>
    <row r="121" spans="2:9" x14ac:dyDescent="0.35">
      <c r="B121" s="228"/>
      <c r="C121" s="229"/>
      <c r="D121" s="230"/>
      <c r="E121" s="230"/>
      <c r="F121" s="230"/>
      <c r="G121" s="230"/>
      <c r="H121" s="230"/>
      <c r="I121" s="230"/>
    </row>
  </sheetData>
  <sheetProtection algorithmName="SHA-512" hashValue="kAHqiZ0wc797pCvRLHVchENe4d9hRxUQ3u00klXXjVRhIKhJ9H7KoaFyidRvBytrBXDkIzHCSTfLUh5PbkUhpA==" saltValue="FahUGkvUvOR9BrLbmbSiRg==" spinCount="100000" sheet="1" objects="1" scenarios="1"/>
  <autoFilter ref="B4:I69" xr:uid="{D97D043E-07F6-4B05-9765-6745BF211E69}"/>
  <mergeCells count="2">
    <mergeCell ref="B2:H2"/>
    <mergeCell ref="B3:I3"/>
  </mergeCells>
  <pageMargins left="0.7" right="0.7" top="0.75" bottom="0.75" header="0.3" footer="0.3"/>
  <pageSetup orientation="portrait" r:id="rId1"/>
  <headerFooter>
    <oddFooter>&amp;C&amp;1#&amp;"Calibri"&amp;10&amp;K000000Uso Interno</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AC6E5881-6B4F-4492-B1B3-CDD189BD6566}">
          <x14:formula1>
            <xm:f>#REF!</xm:f>
          </x14:formula1>
          <xm:sqref>H5:H121</xm:sqref>
        </x14:dataValidation>
        <x14:dataValidation type="list" allowBlank="1" showInputMessage="1" showErrorMessage="1" xr:uid="{D676AAA5-51DE-485E-A947-E567BA2C75E0}">
          <x14:formula1>
            <xm:f>#REF!</xm:f>
          </x14:formula1>
          <xm:sqref>G5:G121 I5:I121</xm:sqref>
        </x14:dataValidation>
        <x14:dataValidation type="list" allowBlank="1" showInputMessage="1" showErrorMessage="1" xr:uid="{C29CC309-B9D6-4012-898D-E8097942E092}">
          <x14:formula1>
            <xm:f>#REF!</xm:f>
          </x14:formula1>
          <xm:sqref>D5:D121</xm:sqref>
        </x14:dataValidation>
        <x14:dataValidation type="list" allowBlank="1" showInputMessage="1" showErrorMessage="1" xr:uid="{16F89E48-068D-4E23-AC58-47D692F354BA}">
          <x14:formula1>
            <xm:f>#REF!</xm:f>
          </x14:formula1>
          <xm:sqref>E5:E121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3B0E-FC38-4CFD-A8E7-90A6D2A51C47}">
  <sheetPr codeName="Hoja1">
    <tabColor rgb="FF0070C0"/>
  </sheetPr>
  <dimension ref="D4:K28"/>
  <sheetViews>
    <sheetView showGridLines="0" zoomScale="70" zoomScaleNormal="70" workbookViewId="0">
      <selection activeCell="F13" sqref="F13"/>
    </sheetView>
  </sheetViews>
  <sheetFormatPr baseColWidth="10" defaultColWidth="11.453125" defaultRowHeight="14.5" x14ac:dyDescent="0.35"/>
  <cols>
    <col min="1" max="3" width="4.453125" style="9" customWidth="1"/>
    <col min="4" max="4" width="29.54296875" style="9" bestFit="1" customWidth="1"/>
    <col min="5" max="5" width="11.453125" style="9"/>
    <col min="6" max="6" width="15.453125" style="9" customWidth="1"/>
    <col min="7" max="7" width="8.453125" style="9" customWidth="1"/>
    <col min="8" max="16384" width="11.453125" style="9"/>
  </cols>
  <sheetData>
    <row r="4" spans="4:11" ht="58" x14ac:dyDescent="0.35">
      <c r="G4" s="21" t="s">
        <v>127</v>
      </c>
      <c r="I4" s="21" t="s">
        <v>128</v>
      </c>
    </row>
    <row r="5" spans="4:11" ht="15" thickBot="1" x14ac:dyDescent="0.4">
      <c r="G5" s="150" t="e">
        <f>SUM(F:F)</f>
        <v>#REF!</v>
      </c>
      <c r="I5" s="150">
        <f>SUM(H:H)</f>
        <v>0</v>
      </c>
    </row>
    <row r="6" spans="4:11" ht="43.5" x14ac:dyDescent="0.35">
      <c r="D6" s="183" t="s">
        <v>129</v>
      </c>
      <c r="F6" s="182" t="s">
        <v>130</v>
      </c>
      <c r="G6" s="182"/>
      <c r="H6" s="182" t="s">
        <v>128</v>
      </c>
      <c r="I6" s="182"/>
    </row>
    <row r="7" spans="4:11" x14ac:dyDescent="0.35">
      <c r="D7" s="23" t="s">
        <v>131</v>
      </c>
    </row>
    <row r="8" spans="4:11" x14ac:dyDescent="0.35">
      <c r="D8" s="23" t="s">
        <v>132</v>
      </c>
    </row>
    <row r="9" spans="4:11" x14ac:dyDescent="0.35">
      <c r="D9" s="23" t="s">
        <v>133</v>
      </c>
    </row>
    <row r="10" spans="4:11" ht="18.5" x14ac:dyDescent="0.45">
      <c r="D10" s="180" t="s">
        <v>134</v>
      </c>
      <c r="E10" s="181"/>
      <c r="F10" s="207">
        <v>13</v>
      </c>
      <c r="G10" s="181"/>
      <c r="H10" s="181"/>
      <c r="I10" s="181"/>
      <c r="J10" s="181"/>
      <c r="K10" s="9" t="s">
        <v>135</v>
      </c>
    </row>
    <row r="11" spans="4:11" x14ac:dyDescent="0.35">
      <c r="D11" s="23" t="s">
        <v>136</v>
      </c>
    </row>
    <row r="12" spans="4:11" x14ac:dyDescent="0.35">
      <c r="D12" s="23" t="s">
        <v>137</v>
      </c>
    </row>
    <row r="13" spans="4:11" x14ac:dyDescent="0.35">
      <c r="D13" s="180" t="s">
        <v>138</v>
      </c>
      <c r="E13" s="181"/>
      <c r="F13" s="181" t="e">
        <f>'5204_Fiduciarias_Validaciones'!#REF!</f>
        <v>#REF!</v>
      </c>
      <c r="G13" s="181"/>
      <c r="H13" s="181">
        <f>COUNT('5204_Fiduciarias_Validaciones'!#REF!)</f>
        <v>0</v>
      </c>
      <c r="I13" s="181"/>
      <c r="J13" s="181"/>
    </row>
    <row r="14" spans="4:11" x14ac:dyDescent="0.35">
      <c r="D14" s="23" t="s">
        <v>139</v>
      </c>
    </row>
    <row r="15" spans="4:11" x14ac:dyDescent="0.35">
      <c r="D15" s="23" t="s">
        <v>140</v>
      </c>
    </row>
    <row r="16" spans="4:11" x14ac:dyDescent="0.35">
      <c r="D16" s="180" t="s">
        <v>141</v>
      </c>
      <c r="E16" s="181"/>
      <c r="F16" s="181" t="e">
        <f>'5205_Reales_Validaciones'!#REF!</f>
        <v>#REF!</v>
      </c>
      <c r="G16" s="181"/>
      <c r="H16" s="181">
        <f>COUNT('5205_Reales_Validaciones'!#REF!)</f>
        <v>0</v>
      </c>
      <c r="I16" s="181"/>
      <c r="J16" s="181"/>
    </row>
    <row r="17" spans="4:10" x14ac:dyDescent="0.35">
      <c r="D17" s="23" t="s">
        <v>142</v>
      </c>
    </row>
    <row r="18" spans="4:10" x14ac:dyDescent="0.35">
      <c r="D18" s="23" t="s">
        <v>143</v>
      </c>
    </row>
    <row r="19" spans="4:10" x14ac:dyDescent="0.35">
      <c r="D19" s="180" t="s">
        <v>144</v>
      </c>
      <c r="E19" s="181"/>
      <c r="F19" s="181" t="e">
        <f>'5206_Valores_Validaciones_nulo'!#REF!</f>
        <v>#REF!</v>
      </c>
      <c r="G19" s="181"/>
      <c r="H19" s="181">
        <f>COUNT('5206_Valores_Validaciones_nulo'!#REF!)</f>
        <v>0</v>
      </c>
      <c r="I19" s="181"/>
      <c r="J19" s="181"/>
    </row>
    <row r="20" spans="4:10" x14ac:dyDescent="0.35">
      <c r="D20" s="23" t="s">
        <v>145</v>
      </c>
    </row>
    <row r="21" spans="4:10" x14ac:dyDescent="0.35">
      <c r="D21" s="23" t="s">
        <v>146</v>
      </c>
    </row>
    <row r="22" spans="4:10" x14ac:dyDescent="0.35">
      <c r="D22" s="180" t="s">
        <v>147</v>
      </c>
      <c r="E22" s="181"/>
      <c r="F22" s="181" t="e">
        <f>'5202_Cartas Credito_Validac '!#REF!</f>
        <v>#REF!</v>
      </c>
      <c r="G22" s="181"/>
      <c r="H22" s="181">
        <f>COUNT('5202_Cartas Credito_Validac '!#REF!)</f>
        <v>0</v>
      </c>
      <c r="I22" s="181"/>
      <c r="J22" s="181"/>
    </row>
    <row r="23" spans="4:10" x14ac:dyDescent="0.35">
      <c r="D23" s="23" t="s">
        <v>148</v>
      </c>
    </row>
    <row r="24" spans="4:10" x14ac:dyDescent="0.35">
      <c r="D24" s="23" t="s">
        <v>149</v>
      </c>
    </row>
    <row r="25" spans="4:10" x14ac:dyDescent="0.35">
      <c r="D25" s="180" t="s">
        <v>150</v>
      </c>
      <c r="E25" s="181"/>
      <c r="F25" s="181" t="e">
        <f>'5203_Cedidas_Validaciones'!#REF!</f>
        <v>#REF!</v>
      </c>
      <c r="G25" s="181"/>
      <c r="H25" s="181">
        <f>COUNT('5203_Cedidas_Validaciones'!#REF!)</f>
        <v>0</v>
      </c>
      <c r="I25" s="181"/>
      <c r="J25" s="181"/>
    </row>
    <row r="26" spans="4:10" x14ac:dyDescent="0.35">
      <c r="D26" s="23" t="s">
        <v>151</v>
      </c>
    </row>
    <row r="27" spans="4:10" x14ac:dyDescent="0.35">
      <c r="D27" s="23" t="s">
        <v>152</v>
      </c>
    </row>
    <row r="28" spans="4:10" x14ac:dyDescent="0.35">
      <c r="D28" s="180" t="s">
        <v>153</v>
      </c>
      <c r="E28" s="181"/>
      <c r="F28" s="181" t="e">
        <f>'5201_Polizas Validaciones'!#REF!</f>
        <v>#REF!</v>
      </c>
      <c r="G28" s="181"/>
      <c r="H28" s="181">
        <f>COUNT('5201_Polizas Validaciones'!#REF!)</f>
        <v>0</v>
      </c>
      <c r="I28" s="181"/>
      <c r="J28" s="181"/>
    </row>
  </sheetData>
  <sheetProtection algorithmName="SHA-512" hashValue="ny/1w7+zUSzOPjF38OSKNUjxLbnUNE+bMj87iJ8M5URBz5scSUpJW70DzorFuE0g+GXZqW8XKfkUIoxmtkoknQ==" saltValue="Lr8Ts5Gi4eObqTCdG8g7AA==" spinCount="100000" sheet="1" formatCells="0" formatColumns="0" formatRows="0" insertHyperlinks="0" autoFilter="0"/>
  <hyperlinks>
    <hyperlink ref="D7" location="'COMENTARIOS'!A1" tooltip="Ir a hoja COMENTARIOS" display="COMENTARIOS" xr:uid="{091884CE-CA15-4018-A059-611832EE663B}"/>
    <hyperlink ref="D8" location="'01_Generalidades_Estructura'!A1" tooltip="Ir a hoja 01_Generalidades_Estructura" display="01_Generalidades_Estructura" xr:uid="{B0D18534-3BF6-4F65-84E0-2CD3377DDD49}"/>
    <hyperlink ref="D9" location="'01_Generalidades_Campos'!A1" tooltip="Ir a hoja 01_Generalidades_Campos" display="01_Generalidades_Campos" xr:uid="{339BA50C-25A0-456D-86FB-F9DCDB902585}"/>
    <hyperlink ref="D10" location="'01_Generalidades_Validaciones'!A1" tooltip="Ir a hoja 01_Generalidades_Validaciones" display="01_Generalidades_Validaciones" xr:uid="{6CA6CF68-0DD6-43ED-B04A-438FB77CBA5C}"/>
    <hyperlink ref="D11" location="'02_Fiduciarias_Estructura'!A1" tooltip="Ir a hoja 02_Fiduciarias_Estruct" display="02_Fiduciarias_Estruct" xr:uid="{B9B84523-53B9-4144-8464-C4C2E2211880}"/>
    <hyperlink ref="D12" location="'02_Fiduciarias_Descripcion'!A1" tooltip="Ir a hoja 02_Fiduciarias_Descripcion" display="02_Fiduciarias_Descripcion" xr:uid="{CAB26869-3D8F-4FF7-9C8F-6886C9B33CFA}"/>
    <hyperlink ref="D13" location="'02_Fiduciarias_Validaciones'!A1" tooltip="Ir a hoja 02_Fiduciarias_Validaciones" display="02_Fiduciarias_Validaciones" xr:uid="{5B14231A-3C38-4234-8FFC-F217AB039351}"/>
    <hyperlink ref="D14" location="'03_Reales_Estructura'!A1" tooltip="Ir a hoja 03_Reales_Estructura" display="03_Reales_Estructura" xr:uid="{B0405E00-ECF6-4A1A-8616-5D88FBE6C80B}"/>
    <hyperlink ref="D15" location="'03_Reales_Descripcion'!A1" tooltip="Ir a hoja 03_Reales_Descripcion" display="03_Reales_Descripcion" xr:uid="{5DF79E84-836E-48B8-9283-84F2BE35B5BE}"/>
    <hyperlink ref="D16" location="'03_Reales_Validaciones'!A1" tooltip="Ir a hoja 03_Reales_Validaciones" display="03_Reales_Validaciones" xr:uid="{42F436EC-A863-43A8-A0F4-FB01D2BC0A1A}"/>
    <hyperlink ref="D17" location="'04_Valores Estructura'!A1" tooltip="Ir a hoja 04_Valores Estructura" display="04_Valores Estructura" xr:uid="{9CB35F8F-B53C-4D78-9A5F-919A6D2ACE9D}"/>
    <hyperlink ref="D18" location="'04_Valores_Descripcion'!A1" tooltip="Ir a hoja 04_Valores_Descripcion" display="04_Valores_Descripcion" xr:uid="{E5C1D005-E799-4625-A141-8F96E4119FAD}"/>
    <hyperlink ref="D19" location="'04_Valores_Validaciones'!A1" tooltip="Ir a hoja 04_Valores_Validaciones" display="04_Valores_Validaciones" xr:uid="{47BC22DE-0F05-4089-86A6-5B886B2BE867}"/>
    <hyperlink ref="D20" location="'05_Cartas Credito_Estructura'!A1" tooltip="Ir a hoja 05_Cartas Credito_Estructura" display="05_Cartas Credito_Estructura" xr:uid="{93F2FCE6-C12E-4E92-937E-F98D742589B0}"/>
    <hyperlink ref="D21" location="'05_Cartas Credito_Descripcion'!A1" tooltip="Ir a hoja 05_Cartas Credito_Descripcion" display="05_Cartas Credito_Descripcion" xr:uid="{50334F37-8A1C-4957-BEB7-D118852A709A}"/>
    <hyperlink ref="D22" location="'05_Cartas Credito_Validaciones '!A1" tooltip="Ir a hoja 05_Cartas Credito_Validaciones " display="05_Cartas Credito_Validaciones " xr:uid="{8ED00B96-1FCF-4F3B-8405-C866DD535E5B}"/>
    <hyperlink ref="D23" location="'06_Cedidas_Estructura'!A1" tooltip="Ir a hoja 06_Cedidas_Estructura" display="06_Cedidas_Estructura" xr:uid="{0CC8F903-815C-4B72-8852-13B2251B03BB}"/>
    <hyperlink ref="D24" location="'06_Cedidas_Descripcion'!A1" tooltip="Ir a hoja 06_Cedidas_Descrip" display="06_Cedidas_Descripcion" xr:uid="{A2A69A17-B66B-4BBD-BABD-3D5EA6F726A7}"/>
    <hyperlink ref="D25" location="'06_Cedidas_Validaciones'!A1" tooltip="Ir a hoja 06_Cedidas_Validaciones" display="06_Cedidas_Validaciones" xr:uid="{13744925-6BAA-4B47-AC3B-06A2C696681C}"/>
    <hyperlink ref="D26" location="'07_Polizas_Estructura'!A1" tooltip="Ir a hoja 08_Polizas_Estructura" display="07_Polizas_Estructura" xr:uid="{DF83C277-4B97-49EF-A64E-506AA23CDB3B}"/>
    <hyperlink ref="D27" location="'07_Polizas Descripcion'!A1" tooltip="Ir a hoja 08_Polizas Descripcion" display="07_Polizas Descripcion" xr:uid="{EA36E155-1770-4943-80D6-B70CF173FDDE}"/>
    <hyperlink ref="D28" location="'07_Polizas Validaciones'!A1" tooltip="Ir a hoja 08_Polizas Validaciones" display="07_Polizas Validaciones" xr:uid="{70BCD0BE-166C-4494-8907-3DD237A33832}"/>
  </hyperlinks>
  <pageMargins left="0.7" right="0.7" top="0.75" bottom="0.75" header="0.3" footer="0.3"/>
  <pageSetup orientation="portrait" r:id="rId1"/>
  <headerFooter>
    <oddFooter>&amp;C&amp;1#&amp;"Calibri"&amp;10&amp;K000000Uso Interno</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D043E-07F6-4B05-9765-6745BF211E69}">
  <sheetPr codeName="Hoja6">
    <tabColor rgb="FFFF0000"/>
  </sheetPr>
  <dimension ref="A2:I79"/>
  <sheetViews>
    <sheetView showGridLines="0" topLeftCell="A3" zoomScale="70" zoomScaleNormal="70" workbookViewId="0">
      <pane xSplit="1" ySplit="2" topLeftCell="C5" activePane="bottomRight" state="frozen"/>
      <selection pane="topRight"/>
      <selection pane="bottomLeft"/>
      <selection pane="bottomRight" activeCell="C20" sqref="C20"/>
    </sheetView>
  </sheetViews>
  <sheetFormatPr baseColWidth="10" defaultColWidth="11.453125" defaultRowHeight="14" x14ac:dyDescent="0.35"/>
  <cols>
    <col min="1" max="1" width="11.54296875" style="163" customWidth="1"/>
    <col min="2" max="2" width="14.453125" style="163" customWidth="1"/>
    <col min="3" max="3" width="134.54296875" style="166" customWidth="1"/>
    <col min="4" max="4" width="32.453125" style="163" customWidth="1"/>
    <col min="5" max="6" width="14.453125" style="163" customWidth="1"/>
    <col min="7" max="7" width="20.54296875" style="163" customWidth="1"/>
    <col min="8" max="8" width="21.54296875" style="163" customWidth="1"/>
    <col min="9" max="9" width="20.54296875" style="163" customWidth="1"/>
    <col min="10" max="10" width="21.54296875" style="163" customWidth="1"/>
    <col min="11" max="16384" width="11.453125" style="163"/>
  </cols>
  <sheetData>
    <row r="2" spans="1:9" x14ac:dyDescent="0.35">
      <c r="B2" s="385" t="s">
        <v>66</v>
      </c>
      <c r="C2" s="385"/>
      <c r="D2" s="385"/>
      <c r="E2" s="385"/>
      <c r="F2" s="385"/>
      <c r="G2" s="385"/>
      <c r="H2" s="385"/>
    </row>
    <row r="3" spans="1:9" ht="25.5" thickBot="1" x14ac:dyDescent="0.4">
      <c r="B3" s="160"/>
      <c r="C3" s="160"/>
      <c r="D3" s="160"/>
      <c r="E3" s="160"/>
      <c r="F3" s="160"/>
      <c r="G3" s="160"/>
      <c r="H3" s="160"/>
      <c r="I3" s="160"/>
    </row>
    <row r="4" spans="1:9" ht="28.5" thickTop="1" x14ac:dyDescent="0.35">
      <c r="A4" s="161"/>
      <c r="B4" s="162" t="s">
        <v>1</v>
      </c>
      <c r="C4" s="164" t="s">
        <v>67</v>
      </c>
      <c r="D4" s="162" t="s">
        <v>68</v>
      </c>
      <c r="E4" s="162" t="s">
        <v>3</v>
      </c>
      <c r="F4" s="162" t="s">
        <v>69</v>
      </c>
      <c r="G4" s="162" t="s">
        <v>70</v>
      </c>
      <c r="H4" s="162" t="s">
        <v>71</v>
      </c>
      <c r="I4" s="162" t="s">
        <v>72</v>
      </c>
    </row>
    <row r="5" spans="1:9" x14ac:dyDescent="0.35">
      <c r="B5" s="191">
        <v>44715</v>
      </c>
      <c r="C5" s="195" t="s">
        <v>166</v>
      </c>
      <c r="D5" s="193" t="s">
        <v>94</v>
      </c>
      <c r="E5" s="193"/>
      <c r="F5" s="193"/>
      <c r="G5" s="193"/>
      <c r="H5" s="193"/>
      <c r="I5" s="193"/>
    </row>
    <row r="6" spans="1:9" ht="28" x14ac:dyDescent="0.35">
      <c r="B6" s="191">
        <v>44715</v>
      </c>
      <c r="C6" s="195" t="s">
        <v>167</v>
      </c>
      <c r="D6" s="193" t="s">
        <v>168</v>
      </c>
      <c r="E6" s="193">
        <v>8</v>
      </c>
      <c r="F6" s="193"/>
      <c r="G6" s="193" t="s">
        <v>90</v>
      </c>
      <c r="H6" s="193" t="s">
        <v>169</v>
      </c>
      <c r="I6" s="193" t="s">
        <v>90</v>
      </c>
    </row>
    <row r="7" spans="1:9" ht="28" x14ac:dyDescent="0.35">
      <c r="B7" s="191">
        <v>44715</v>
      </c>
      <c r="C7" s="195" t="s">
        <v>170</v>
      </c>
      <c r="D7" s="193" t="s">
        <v>168</v>
      </c>
      <c r="E7" s="193">
        <v>9</v>
      </c>
      <c r="F7" s="193"/>
      <c r="G7" s="193" t="s">
        <v>90</v>
      </c>
      <c r="H7" s="193" t="s">
        <v>169</v>
      </c>
      <c r="I7" s="193" t="s">
        <v>90</v>
      </c>
    </row>
    <row r="8" spans="1:9" x14ac:dyDescent="0.35">
      <c r="B8" s="191">
        <v>44715</v>
      </c>
      <c r="C8" s="195" t="s">
        <v>171</v>
      </c>
      <c r="D8" s="193" t="s">
        <v>168</v>
      </c>
      <c r="E8" s="193">
        <v>10</v>
      </c>
      <c r="F8" s="193"/>
      <c r="G8" s="193" t="s">
        <v>90</v>
      </c>
      <c r="H8" s="193" t="s">
        <v>169</v>
      </c>
      <c r="I8" s="193" t="s">
        <v>90</v>
      </c>
    </row>
    <row r="9" spans="1:9" x14ac:dyDescent="0.35">
      <c r="B9" s="191">
        <v>44715</v>
      </c>
      <c r="C9" s="195" t="s">
        <v>172</v>
      </c>
      <c r="D9" s="193" t="s">
        <v>168</v>
      </c>
      <c r="E9" s="193">
        <v>12</v>
      </c>
      <c r="F9" s="193"/>
      <c r="G9" s="193" t="s">
        <v>90</v>
      </c>
      <c r="H9" s="193" t="s">
        <v>169</v>
      </c>
      <c r="I9" s="193" t="s">
        <v>90</v>
      </c>
    </row>
    <row r="10" spans="1:9" x14ac:dyDescent="0.35">
      <c r="B10" s="191">
        <v>44715</v>
      </c>
      <c r="C10" s="195" t="s">
        <v>173</v>
      </c>
      <c r="D10" s="193" t="s">
        <v>174</v>
      </c>
      <c r="E10" s="193">
        <v>2</v>
      </c>
      <c r="F10" s="193"/>
      <c r="G10" s="193" t="s">
        <v>90</v>
      </c>
      <c r="H10" s="193" t="s">
        <v>169</v>
      </c>
      <c r="I10" s="193" t="s">
        <v>90</v>
      </c>
    </row>
    <row r="11" spans="1:9" x14ac:dyDescent="0.35">
      <c r="B11" s="191">
        <v>44350</v>
      </c>
      <c r="C11" s="195" t="s">
        <v>175</v>
      </c>
      <c r="D11" s="193" t="s">
        <v>174</v>
      </c>
      <c r="E11" s="193">
        <v>13</v>
      </c>
      <c r="F11" s="193"/>
      <c r="G11" s="193" t="s">
        <v>90</v>
      </c>
      <c r="H11" s="193" t="s">
        <v>169</v>
      </c>
      <c r="I11" s="193" t="s">
        <v>90</v>
      </c>
    </row>
    <row r="12" spans="1:9" x14ac:dyDescent="0.35">
      <c r="B12" s="191">
        <v>44715</v>
      </c>
      <c r="C12" s="195" t="s">
        <v>176</v>
      </c>
      <c r="D12" s="193" t="s">
        <v>177</v>
      </c>
      <c r="E12" s="193">
        <v>5</v>
      </c>
      <c r="F12" s="193"/>
      <c r="G12" s="193" t="s">
        <v>90</v>
      </c>
      <c r="H12" s="193" t="s">
        <v>169</v>
      </c>
      <c r="I12" s="193" t="s">
        <v>90</v>
      </c>
    </row>
    <row r="13" spans="1:9" x14ac:dyDescent="0.35">
      <c r="B13" s="191">
        <v>44725</v>
      </c>
      <c r="C13" s="195" t="s">
        <v>178</v>
      </c>
      <c r="D13" s="193" t="s">
        <v>177</v>
      </c>
      <c r="E13" s="193" t="s">
        <v>179</v>
      </c>
      <c r="F13" s="193"/>
      <c r="G13" s="193" t="s">
        <v>90</v>
      </c>
      <c r="H13" s="193" t="s">
        <v>169</v>
      </c>
      <c r="I13" s="193" t="s">
        <v>90</v>
      </c>
    </row>
    <row r="14" spans="1:9" x14ac:dyDescent="0.35">
      <c r="B14" s="191">
        <v>44725</v>
      </c>
      <c r="C14" s="195" t="s">
        <v>180</v>
      </c>
      <c r="D14" s="193" t="s">
        <v>174</v>
      </c>
      <c r="E14" s="193" t="s">
        <v>181</v>
      </c>
      <c r="F14" s="193"/>
      <c r="G14" s="193" t="s">
        <v>90</v>
      </c>
      <c r="H14" s="193" t="s">
        <v>169</v>
      </c>
      <c r="I14" s="193" t="s">
        <v>90</v>
      </c>
    </row>
    <row r="15" spans="1:9" x14ac:dyDescent="0.35">
      <c r="B15" s="191">
        <v>44725</v>
      </c>
      <c r="C15" s="195" t="s">
        <v>182</v>
      </c>
      <c r="D15" s="193" t="s">
        <v>177</v>
      </c>
      <c r="E15" s="193" t="s">
        <v>183</v>
      </c>
      <c r="F15" s="193"/>
      <c r="G15" s="193" t="s">
        <v>90</v>
      </c>
      <c r="H15" s="193" t="s">
        <v>169</v>
      </c>
      <c r="I15" s="193" t="s">
        <v>90</v>
      </c>
    </row>
    <row r="16" spans="1:9" ht="42" x14ac:dyDescent="0.35">
      <c r="B16" s="191">
        <v>44732</v>
      </c>
      <c r="C16" s="192" t="s">
        <v>184</v>
      </c>
      <c r="D16" s="193" t="s">
        <v>185</v>
      </c>
      <c r="E16" s="193" t="s">
        <v>186</v>
      </c>
      <c r="F16" s="193"/>
      <c r="G16" s="193" t="s">
        <v>90</v>
      </c>
      <c r="H16" s="193" t="s">
        <v>169</v>
      </c>
      <c r="I16" s="193"/>
    </row>
    <row r="17" spans="2:9" ht="42" x14ac:dyDescent="0.35">
      <c r="B17" s="191">
        <v>44736</v>
      </c>
      <c r="C17" s="192" t="s">
        <v>187</v>
      </c>
      <c r="D17" s="193" t="s">
        <v>188</v>
      </c>
      <c r="E17" s="193" t="s">
        <v>189</v>
      </c>
      <c r="F17" s="193"/>
      <c r="G17" s="193" t="s">
        <v>74</v>
      </c>
      <c r="H17" s="193" t="s">
        <v>169</v>
      </c>
      <c r="I17" s="193" t="s">
        <v>90</v>
      </c>
    </row>
    <row r="18" spans="2:9" ht="98" x14ac:dyDescent="0.35">
      <c r="B18" s="191">
        <v>44736</v>
      </c>
      <c r="C18" s="192" t="s">
        <v>190</v>
      </c>
      <c r="D18" s="193" t="s">
        <v>191</v>
      </c>
      <c r="E18" s="193" t="s">
        <v>189</v>
      </c>
      <c r="F18" s="193"/>
      <c r="G18" s="193" t="s">
        <v>74</v>
      </c>
      <c r="H18" s="193" t="s">
        <v>169</v>
      </c>
      <c r="I18" s="193" t="s">
        <v>90</v>
      </c>
    </row>
    <row r="19" spans="2:9" ht="56" x14ac:dyDescent="0.35">
      <c r="B19" s="191">
        <v>44736</v>
      </c>
      <c r="C19" s="192" t="s">
        <v>192</v>
      </c>
      <c r="D19" s="196" t="s">
        <v>193</v>
      </c>
      <c r="E19" s="196" t="s">
        <v>194</v>
      </c>
      <c r="F19" s="193"/>
      <c r="G19" s="193" t="s">
        <v>90</v>
      </c>
      <c r="H19" s="193" t="s">
        <v>169</v>
      </c>
      <c r="I19" s="193"/>
    </row>
    <row r="20" spans="2:9" ht="242.25" customHeight="1" x14ac:dyDescent="0.35">
      <c r="B20" s="191">
        <v>44736</v>
      </c>
      <c r="C20" s="192" t="s">
        <v>195</v>
      </c>
      <c r="D20" s="193" t="s">
        <v>196</v>
      </c>
      <c r="E20" s="193" t="s">
        <v>189</v>
      </c>
      <c r="F20" s="193"/>
      <c r="G20" s="193" t="s">
        <v>74</v>
      </c>
      <c r="H20" s="193" t="s">
        <v>169</v>
      </c>
      <c r="I20" s="193" t="s">
        <v>90</v>
      </c>
    </row>
    <row r="21" spans="2:9" ht="70" x14ac:dyDescent="0.35">
      <c r="B21" s="191">
        <v>44736</v>
      </c>
      <c r="C21" s="192" t="s">
        <v>197</v>
      </c>
      <c r="D21" s="193" t="s">
        <v>198</v>
      </c>
      <c r="E21" s="193" t="s">
        <v>199</v>
      </c>
      <c r="F21" s="193"/>
      <c r="G21" s="193" t="s">
        <v>74</v>
      </c>
      <c r="H21" s="193" t="s">
        <v>169</v>
      </c>
      <c r="I21" s="193" t="s">
        <v>90</v>
      </c>
    </row>
    <row r="22" spans="2:9" ht="28" x14ac:dyDescent="0.35">
      <c r="B22" s="191">
        <v>44736</v>
      </c>
      <c r="C22" s="192" t="s">
        <v>200</v>
      </c>
      <c r="D22" s="193" t="s">
        <v>201</v>
      </c>
      <c r="E22" s="193" t="s">
        <v>202</v>
      </c>
      <c r="F22" s="193"/>
      <c r="G22" s="193" t="s">
        <v>90</v>
      </c>
      <c r="H22" s="193" t="s">
        <v>169</v>
      </c>
      <c r="I22" s="193" t="s">
        <v>90</v>
      </c>
    </row>
    <row r="23" spans="2:9" ht="56" x14ac:dyDescent="0.35">
      <c r="B23" s="191">
        <v>44740</v>
      </c>
      <c r="C23" s="197" t="s">
        <v>203</v>
      </c>
      <c r="D23" s="193" t="s">
        <v>201</v>
      </c>
      <c r="E23" s="193" t="s">
        <v>189</v>
      </c>
      <c r="F23" s="193"/>
      <c r="G23" s="193" t="s">
        <v>74</v>
      </c>
      <c r="H23" s="193" t="s">
        <v>169</v>
      </c>
      <c r="I23" s="193" t="s">
        <v>90</v>
      </c>
    </row>
    <row r="24" spans="2:9" ht="42" x14ac:dyDescent="0.35">
      <c r="B24" s="158">
        <v>44741</v>
      </c>
      <c r="C24" s="165" t="s">
        <v>204</v>
      </c>
      <c r="D24" s="159"/>
      <c r="E24" s="159"/>
      <c r="F24" s="198"/>
      <c r="G24" s="159" t="s">
        <v>90</v>
      </c>
      <c r="H24" s="159"/>
      <c r="I24" s="159"/>
    </row>
    <row r="25" spans="2:9" ht="168" x14ac:dyDescent="0.35">
      <c r="B25" s="191">
        <v>44568</v>
      </c>
      <c r="C25" s="192" t="s">
        <v>205</v>
      </c>
      <c r="D25" s="193" t="s">
        <v>206</v>
      </c>
      <c r="E25" s="193" t="s">
        <v>202</v>
      </c>
      <c r="F25" s="193"/>
      <c r="G25" s="193"/>
      <c r="H25" s="193" t="s">
        <v>169</v>
      </c>
      <c r="I25" s="193" t="s">
        <v>90</v>
      </c>
    </row>
    <row r="26" spans="2:9" ht="154" x14ac:dyDescent="0.35">
      <c r="B26" s="176">
        <v>44568</v>
      </c>
      <c r="C26" s="177" t="s">
        <v>207</v>
      </c>
      <c r="D26" s="178" t="s">
        <v>208</v>
      </c>
      <c r="E26" s="178" t="s">
        <v>202</v>
      </c>
      <c r="F26" s="178"/>
      <c r="G26" s="178" t="s">
        <v>78</v>
      </c>
      <c r="H26" s="178" t="s">
        <v>209</v>
      </c>
      <c r="I26" s="178" t="s">
        <v>78</v>
      </c>
    </row>
    <row r="27" spans="2:9" ht="70" x14ac:dyDescent="0.35">
      <c r="B27" s="191" t="s">
        <v>210</v>
      </c>
      <c r="C27" s="192" t="s">
        <v>211</v>
      </c>
      <c r="D27" s="193" t="s">
        <v>212</v>
      </c>
      <c r="E27" s="193" t="s">
        <v>202</v>
      </c>
      <c r="F27" s="193"/>
      <c r="G27" s="193" t="s">
        <v>156</v>
      </c>
      <c r="H27" s="193" t="s">
        <v>75</v>
      </c>
      <c r="I27" s="193" t="s">
        <v>90</v>
      </c>
    </row>
    <row r="28" spans="2:9" x14ac:dyDescent="0.35">
      <c r="B28" s="173"/>
      <c r="C28" s="174"/>
      <c r="D28" s="175"/>
      <c r="E28" s="175"/>
      <c r="F28" s="178"/>
      <c r="G28" s="175"/>
      <c r="H28" s="175"/>
      <c r="I28" s="175"/>
    </row>
    <row r="29" spans="2:9" x14ac:dyDescent="0.35">
      <c r="B29" s="176">
        <v>44831</v>
      </c>
      <c r="C29" s="177" t="s">
        <v>10</v>
      </c>
      <c r="D29" s="178" t="s">
        <v>83</v>
      </c>
      <c r="E29" s="178" t="s">
        <v>9</v>
      </c>
      <c r="F29" s="178"/>
      <c r="G29" s="178" t="s">
        <v>90</v>
      </c>
      <c r="H29" s="178" t="s">
        <v>157</v>
      </c>
      <c r="I29" s="178"/>
    </row>
    <row r="30" spans="2:9" x14ac:dyDescent="0.35">
      <c r="B30" s="176">
        <v>44831</v>
      </c>
      <c r="C30" s="177" t="s">
        <v>13</v>
      </c>
      <c r="D30" s="178" t="s">
        <v>85</v>
      </c>
      <c r="E30" s="178" t="s">
        <v>9</v>
      </c>
      <c r="F30" s="178"/>
      <c r="G30" s="178" t="s">
        <v>90</v>
      </c>
      <c r="H30" s="178" t="s">
        <v>157</v>
      </c>
      <c r="I30" s="178"/>
    </row>
    <row r="31" spans="2:9" x14ac:dyDescent="0.35">
      <c r="B31" s="176">
        <v>44831</v>
      </c>
      <c r="C31" s="177" t="s">
        <v>13</v>
      </c>
      <c r="D31" s="178" t="s">
        <v>81</v>
      </c>
      <c r="E31" s="178" t="s">
        <v>9</v>
      </c>
      <c r="F31" s="178"/>
      <c r="G31" s="178" t="s">
        <v>90</v>
      </c>
      <c r="H31" s="178" t="s">
        <v>157</v>
      </c>
      <c r="I31" s="178"/>
    </row>
    <row r="32" spans="2:9" x14ac:dyDescent="0.35">
      <c r="B32" s="176">
        <v>44831</v>
      </c>
      <c r="C32" s="177" t="s">
        <v>13</v>
      </c>
      <c r="D32" s="178" t="s">
        <v>79</v>
      </c>
      <c r="E32" s="178" t="s">
        <v>9</v>
      </c>
      <c r="F32" s="178"/>
      <c r="G32" s="178" t="s">
        <v>90</v>
      </c>
      <c r="H32" s="178" t="s">
        <v>157</v>
      </c>
      <c r="I32" s="178"/>
    </row>
    <row r="33" spans="2:9" ht="28" x14ac:dyDescent="0.35">
      <c r="B33" s="176">
        <v>44831</v>
      </c>
      <c r="C33" s="177" t="s">
        <v>19</v>
      </c>
      <c r="D33" s="178" t="s">
        <v>76</v>
      </c>
      <c r="E33" s="178" t="s">
        <v>9</v>
      </c>
      <c r="F33" s="178"/>
      <c r="G33" s="178" t="s">
        <v>90</v>
      </c>
      <c r="H33" s="178" t="s">
        <v>157</v>
      </c>
      <c r="I33" s="178"/>
    </row>
    <row r="34" spans="2:9" x14ac:dyDescent="0.35">
      <c r="B34" s="176">
        <v>44831</v>
      </c>
      <c r="C34" s="177" t="s">
        <v>13</v>
      </c>
      <c r="D34" s="178" t="s">
        <v>73</v>
      </c>
      <c r="E34" s="178" t="s">
        <v>9</v>
      </c>
      <c r="F34" s="178"/>
      <c r="G34" s="178" t="s">
        <v>90</v>
      </c>
      <c r="H34" s="178" t="s">
        <v>157</v>
      </c>
      <c r="I34" s="178"/>
    </row>
    <row r="35" spans="2:9" ht="51.75" customHeight="1" x14ac:dyDescent="0.35">
      <c r="B35" s="191">
        <v>44831</v>
      </c>
      <c r="C35" s="192" t="s">
        <v>213</v>
      </c>
      <c r="D35" s="193" t="s">
        <v>85</v>
      </c>
      <c r="E35" s="193" t="s">
        <v>21</v>
      </c>
      <c r="F35" s="193"/>
      <c r="G35" s="193" t="s">
        <v>90</v>
      </c>
      <c r="H35" s="193" t="s">
        <v>80</v>
      </c>
      <c r="I35" s="193" t="s">
        <v>158</v>
      </c>
    </row>
    <row r="36" spans="2:9" ht="42" x14ac:dyDescent="0.35">
      <c r="B36" s="191">
        <v>44831</v>
      </c>
      <c r="C36" s="192" t="s">
        <v>214</v>
      </c>
      <c r="D36" s="193" t="s">
        <v>81</v>
      </c>
      <c r="E36" s="193" t="s">
        <v>21</v>
      </c>
      <c r="F36" s="193"/>
      <c r="G36" s="193" t="s">
        <v>90</v>
      </c>
      <c r="H36" s="193" t="s">
        <v>80</v>
      </c>
      <c r="I36" s="193"/>
    </row>
    <row r="37" spans="2:9" ht="42" x14ac:dyDescent="0.35">
      <c r="B37" s="191">
        <v>44831</v>
      </c>
      <c r="C37" s="192" t="s">
        <v>215</v>
      </c>
      <c r="D37" s="193" t="s">
        <v>76</v>
      </c>
      <c r="E37" s="193" t="s">
        <v>21</v>
      </c>
      <c r="F37" s="193"/>
      <c r="G37" s="193" t="s">
        <v>90</v>
      </c>
      <c r="H37" s="193" t="s">
        <v>80</v>
      </c>
      <c r="I37" s="193"/>
    </row>
    <row r="38" spans="2:9" ht="42" x14ac:dyDescent="0.35">
      <c r="B38" s="191">
        <v>44831</v>
      </c>
      <c r="C38" s="192" t="s">
        <v>216</v>
      </c>
      <c r="D38" s="193" t="s">
        <v>73</v>
      </c>
      <c r="E38" s="193" t="s">
        <v>21</v>
      </c>
      <c r="F38" s="193"/>
      <c r="G38" s="193" t="s">
        <v>90</v>
      </c>
      <c r="H38" s="193" t="s">
        <v>80</v>
      </c>
      <c r="I38" s="193"/>
    </row>
    <row r="39" spans="2:9" ht="42" x14ac:dyDescent="0.35">
      <c r="B39" s="191">
        <v>44831</v>
      </c>
      <c r="C39" s="192" t="s">
        <v>217</v>
      </c>
      <c r="D39" s="193" t="s">
        <v>73</v>
      </c>
      <c r="E39" s="193" t="s">
        <v>21</v>
      </c>
      <c r="F39" s="193"/>
      <c r="G39" s="193" t="s">
        <v>90</v>
      </c>
      <c r="H39" s="193" t="s">
        <v>80</v>
      </c>
      <c r="I39" s="193"/>
    </row>
    <row r="40" spans="2:9" ht="42" x14ac:dyDescent="0.35">
      <c r="B40" s="191">
        <v>44831</v>
      </c>
      <c r="C40" s="192" t="s">
        <v>218</v>
      </c>
      <c r="D40" s="193" t="s">
        <v>85</v>
      </c>
      <c r="E40" s="193" t="s">
        <v>21</v>
      </c>
      <c r="F40" s="193"/>
      <c r="G40" s="193" t="s">
        <v>90</v>
      </c>
      <c r="H40" s="193" t="s">
        <v>80</v>
      </c>
      <c r="I40" s="193" t="s">
        <v>158</v>
      </c>
    </row>
    <row r="41" spans="2:9" ht="42" x14ac:dyDescent="0.35">
      <c r="B41" s="191">
        <v>44831</v>
      </c>
      <c r="C41" s="192" t="s">
        <v>219</v>
      </c>
      <c r="D41" s="193" t="s">
        <v>81</v>
      </c>
      <c r="E41" s="193" t="s">
        <v>21</v>
      </c>
      <c r="F41" s="193"/>
      <c r="G41" s="193" t="s">
        <v>90</v>
      </c>
      <c r="H41" s="193" t="s">
        <v>80</v>
      </c>
      <c r="I41" s="193"/>
    </row>
    <row r="42" spans="2:9" ht="62.25" customHeight="1" x14ac:dyDescent="0.35">
      <c r="B42" s="191">
        <v>44862</v>
      </c>
      <c r="C42" s="192" t="s">
        <v>220</v>
      </c>
      <c r="D42" s="193" t="s">
        <v>79</v>
      </c>
      <c r="E42" s="193" t="s">
        <v>21</v>
      </c>
      <c r="F42" s="193">
        <v>1</v>
      </c>
      <c r="G42" s="193" t="s">
        <v>90</v>
      </c>
      <c r="H42" s="193" t="s">
        <v>80</v>
      </c>
      <c r="I42" s="193" t="s">
        <v>158</v>
      </c>
    </row>
    <row r="43" spans="2:9" ht="132.75" customHeight="1" x14ac:dyDescent="0.35">
      <c r="B43" s="191">
        <v>44862</v>
      </c>
      <c r="C43" s="192" t="s">
        <v>221</v>
      </c>
      <c r="D43" s="193" t="s">
        <v>79</v>
      </c>
      <c r="E43" s="193" t="s">
        <v>21</v>
      </c>
      <c r="F43" s="193">
        <v>4</v>
      </c>
      <c r="G43" s="193" t="s">
        <v>158</v>
      </c>
      <c r="H43" s="193" t="s">
        <v>75</v>
      </c>
      <c r="I43" s="193" t="s">
        <v>90</v>
      </c>
    </row>
    <row r="44" spans="2:9" ht="150" customHeight="1" x14ac:dyDescent="0.35">
      <c r="B44" s="191" t="s">
        <v>222</v>
      </c>
      <c r="C44" s="199" t="s">
        <v>223</v>
      </c>
      <c r="D44" s="193" t="s">
        <v>76</v>
      </c>
      <c r="E44" s="193" t="s">
        <v>21</v>
      </c>
      <c r="F44" s="193">
        <v>2</v>
      </c>
      <c r="G44" s="193" t="s">
        <v>74</v>
      </c>
      <c r="H44" s="193" t="s">
        <v>75</v>
      </c>
      <c r="I44" s="193" t="s">
        <v>90</v>
      </c>
    </row>
    <row r="45" spans="2:9" ht="135" customHeight="1" x14ac:dyDescent="0.35">
      <c r="B45" s="191">
        <v>44862</v>
      </c>
      <c r="C45" s="199" t="s">
        <v>224</v>
      </c>
      <c r="D45" s="193" t="s">
        <v>79</v>
      </c>
      <c r="E45" s="193" t="s">
        <v>21</v>
      </c>
      <c r="F45" s="193">
        <v>7</v>
      </c>
      <c r="G45" s="193" t="s">
        <v>158</v>
      </c>
      <c r="H45" s="193" t="s">
        <v>155</v>
      </c>
      <c r="I45" s="193" t="s">
        <v>158</v>
      </c>
    </row>
    <row r="46" spans="2:9" ht="102.75" customHeight="1" x14ac:dyDescent="0.35">
      <c r="B46" s="191">
        <v>44862</v>
      </c>
      <c r="C46" s="199" t="s">
        <v>225</v>
      </c>
      <c r="D46" s="193" t="s">
        <v>79</v>
      </c>
      <c r="E46" s="193" t="s">
        <v>21</v>
      </c>
      <c r="F46" s="193" t="s">
        <v>226</v>
      </c>
      <c r="G46" s="193" t="s">
        <v>158</v>
      </c>
      <c r="H46" s="193" t="s">
        <v>155</v>
      </c>
      <c r="I46" s="193" t="s">
        <v>158</v>
      </c>
    </row>
    <row r="47" spans="2:9" x14ac:dyDescent="0.35">
      <c r="B47" s="191">
        <v>44862</v>
      </c>
      <c r="C47" s="199" t="s">
        <v>227</v>
      </c>
      <c r="D47" s="193" t="s">
        <v>76</v>
      </c>
      <c r="E47" s="193" t="s">
        <v>21</v>
      </c>
      <c r="F47" s="193">
        <v>4</v>
      </c>
      <c r="G47" s="193" t="s">
        <v>90</v>
      </c>
      <c r="H47" s="193" t="s">
        <v>80</v>
      </c>
      <c r="I47" s="193"/>
    </row>
    <row r="48" spans="2:9" x14ac:dyDescent="0.35">
      <c r="B48" s="191">
        <v>44862</v>
      </c>
      <c r="C48" s="199" t="s">
        <v>227</v>
      </c>
      <c r="D48" s="193" t="s">
        <v>73</v>
      </c>
      <c r="E48" s="193" t="s">
        <v>21</v>
      </c>
      <c r="F48" s="193">
        <v>23</v>
      </c>
      <c r="G48" s="193" t="s">
        <v>90</v>
      </c>
      <c r="H48" s="193" t="s">
        <v>80</v>
      </c>
      <c r="I48" s="193"/>
    </row>
    <row r="49" spans="2:9" ht="175.5" customHeight="1" x14ac:dyDescent="0.3">
      <c r="B49" s="191">
        <v>44631</v>
      </c>
      <c r="C49" s="206" t="s">
        <v>228</v>
      </c>
      <c r="D49" s="193" t="s">
        <v>83</v>
      </c>
      <c r="E49" s="193" t="s">
        <v>9</v>
      </c>
      <c r="F49" s="193">
        <v>1</v>
      </c>
      <c r="G49" s="193" t="s">
        <v>74</v>
      </c>
      <c r="H49" s="193" t="s">
        <v>75</v>
      </c>
      <c r="I49" s="193" t="s">
        <v>90</v>
      </c>
    </row>
    <row r="50" spans="2:9" ht="213.75" customHeight="1" x14ac:dyDescent="0.35">
      <c r="B50" s="191">
        <v>44784</v>
      </c>
      <c r="C50" s="218" t="s">
        <v>229</v>
      </c>
      <c r="D50" s="193" t="s">
        <v>85</v>
      </c>
      <c r="E50" s="193" t="s">
        <v>9</v>
      </c>
      <c r="F50" s="193">
        <v>3</v>
      </c>
      <c r="G50" s="193" t="s">
        <v>74</v>
      </c>
      <c r="H50" s="193" t="s">
        <v>75</v>
      </c>
      <c r="I50" s="193" t="s">
        <v>90</v>
      </c>
    </row>
    <row r="51" spans="2:9" ht="363.75" customHeight="1" x14ac:dyDescent="0.35">
      <c r="B51" s="191" t="s">
        <v>230</v>
      </c>
      <c r="C51" s="208" t="s">
        <v>231</v>
      </c>
      <c r="D51" s="193" t="s">
        <v>81</v>
      </c>
      <c r="E51" s="193" t="s">
        <v>9</v>
      </c>
      <c r="F51" s="193">
        <v>6</v>
      </c>
      <c r="G51" s="193" t="s">
        <v>159</v>
      </c>
      <c r="H51" s="193" t="s">
        <v>155</v>
      </c>
      <c r="I51" s="193"/>
    </row>
    <row r="52" spans="2:9" ht="111" customHeight="1" x14ac:dyDescent="0.35">
      <c r="B52" s="191">
        <v>44815</v>
      </c>
      <c r="C52" s="209" t="s">
        <v>232</v>
      </c>
      <c r="D52" s="193"/>
      <c r="E52" s="193"/>
      <c r="F52" s="193"/>
      <c r="G52" s="193" t="s">
        <v>159</v>
      </c>
      <c r="H52" s="193" t="s">
        <v>75</v>
      </c>
      <c r="I52" s="193"/>
    </row>
    <row r="53" spans="2:9" ht="190.5" customHeight="1" x14ac:dyDescent="0.35">
      <c r="B53" s="191" t="s">
        <v>233</v>
      </c>
      <c r="C53" s="199" t="s">
        <v>234</v>
      </c>
      <c r="D53" s="193" t="s">
        <v>73</v>
      </c>
      <c r="E53" s="193" t="s">
        <v>21</v>
      </c>
      <c r="F53" s="193">
        <v>3</v>
      </c>
      <c r="G53" s="193" t="s">
        <v>159</v>
      </c>
      <c r="H53" s="193" t="s">
        <v>75</v>
      </c>
      <c r="I53" s="193" t="s">
        <v>235</v>
      </c>
    </row>
    <row r="54" spans="2:9" ht="145.5" customHeight="1" x14ac:dyDescent="0.35">
      <c r="B54" s="191" t="s">
        <v>233</v>
      </c>
      <c r="C54" s="199" t="s">
        <v>236</v>
      </c>
      <c r="D54" s="193" t="s">
        <v>73</v>
      </c>
      <c r="E54" s="193" t="s">
        <v>21</v>
      </c>
      <c r="F54" s="193" t="s">
        <v>237</v>
      </c>
      <c r="G54" s="193" t="s">
        <v>159</v>
      </c>
      <c r="H54" s="193" t="s">
        <v>75</v>
      </c>
      <c r="I54" s="193"/>
    </row>
    <row r="55" spans="2:9" ht="224.25" customHeight="1" x14ac:dyDescent="0.35">
      <c r="B55" s="191" t="s">
        <v>233</v>
      </c>
      <c r="C55" s="199" t="s">
        <v>238</v>
      </c>
      <c r="D55" s="193" t="s">
        <v>73</v>
      </c>
      <c r="E55" s="193" t="s">
        <v>21</v>
      </c>
      <c r="F55" s="193">
        <v>22</v>
      </c>
      <c r="G55" s="193" t="s">
        <v>159</v>
      </c>
      <c r="H55" s="193" t="s">
        <v>80</v>
      </c>
      <c r="I55" s="193"/>
    </row>
    <row r="56" spans="2:9" ht="304.5" customHeight="1" x14ac:dyDescent="0.35">
      <c r="B56" s="191" t="s">
        <v>239</v>
      </c>
      <c r="C56" s="199" t="s">
        <v>240</v>
      </c>
      <c r="D56" s="193" t="s">
        <v>76</v>
      </c>
      <c r="E56" s="193" t="s">
        <v>9</v>
      </c>
      <c r="F56" s="193"/>
      <c r="G56" s="193" t="s">
        <v>154</v>
      </c>
      <c r="H56" s="193" t="s">
        <v>80</v>
      </c>
      <c r="I56" s="193"/>
    </row>
    <row r="57" spans="2:9" ht="79.5" customHeight="1" x14ac:dyDescent="0.35">
      <c r="B57" s="176" t="s">
        <v>239</v>
      </c>
      <c r="C57" s="194" t="s">
        <v>241</v>
      </c>
      <c r="D57" s="178" t="s">
        <v>73</v>
      </c>
      <c r="E57" s="178" t="s">
        <v>21</v>
      </c>
      <c r="F57" s="178" t="s">
        <v>242</v>
      </c>
      <c r="G57" s="178" t="s">
        <v>154</v>
      </c>
      <c r="H57" s="178" t="s">
        <v>155</v>
      </c>
      <c r="I57" s="178"/>
    </row>
    <row r="58" spans="2:9" ht="129" customHeight="1" x14ac:dyDescent="0.35">
      <c r="B58" s="191" t="s">
        <v>243</v>
      </c>
      <c r="C58" s="199" t="s">
        <v>244</v>
      </c>
      <c r="D58" s="193" t="s">
        <v>81</v>
      </c>
      <c r="E58" s="193" t="s">
        <v>21</v>
      </c>
      <c r="F58" s="193" t="s">
        <v>245</v>
      </c>
      <c r="G58" s="193" t="s">
        <v>82</v>
      </c>
      <c r="H58" s="193" t="s">
        <v>80</v>
      </c>
      <c r="I58" s="193"/>
    </row>
    <row r="59" spans="2:9" ht="46.5" customHeight="1" x14ac:dyDescent="0.35">
      <c r="B59" s="191" t="s">
        <v>246</v>
      </c>
      <c r="C59" s="199" t="s">
        <v>247</v>
      </c>
      <c r="D59" s="193" t="s">
        <v>73</v>
      </c>
      <c r="E59" s="193" t="s">
        <v>21</v>
      </c>
      <c r="F59" s="193">
        <v>23</v>
      </c>
      <c r="G59" s="193" t="s">
        <v>74</v>
      </c>
      <c r="H59" s="193" t="s">
        <v>75</v>
      </c>
      <c r="I59" s="193"/>
    </row>
    <row r="60" spans="2:9" ht="240" customHeight="1" x14ac:dyDescent="0.35">
      <c r="B60" s="191" t="s">
        <v>248</v>
      </c>
      <c r="C60" s="211" t="s">
        <v>249</v>
      </c>
      <c r="D60" s="193" t="s">
        <v>81</v>
      </c>
      <c r="E60" s="193" t="s">
        <v>9</v>
      </c>
      <c r="F60" s="193">
        <v>8</v>
      </c>
      <c r="G60" s="193" t="s">
        <v>74</v>
      </c>
      <c r="H60" s="193" t="s">
        <v>155</v>
      </c>
      <c r="I60" s="193"/>
    </row>
    <row r="61" spans="2:9" ht="60.75" customHeight="1" x14ac:dyDescent="0.35">
      <c r="B61" s="191">
        <v>44889</v>
      </c>
      <c r="C61" s="199" t="s">
        <v>250</v>
      </c>
      <c r="D61" s="193" t="s">
        <v>79</v>
      </c>
      <c r="E61" s="193" t="s">
        <v>77</v>
      </c>
      <c r="F61" s="193"/>
      <c r="G61" s="193" t="s">
        <v>90</v>
      </c>
      <c r="H61" s="193" t="s">
        <v>75</v>
      </c>
      <c r="I61" s="193" t="s">
        <v>90</v>
      </c>
    </row>
    <row r="62" spans="2:9" ht="56" x14ac:dyDescent="0.35">
      <c r="B62" s="191">
        <v>44895</v>
      </c>
      <c r="C62" s="199" t="s">
        <v>251</v>
      </c>
      <c r="D62" s="193" t="s">
        <v>79</v>
      </c>
      <c r="E62" s="193" t="s">
        <v>77</v>
      </c>
      <c r="F62" s="193"/>
      <c r="G62" s="193" t="s">
        <v>90</v>
      </c>
      <c r="H62" s="193" t="s">
        <v>75</v>
      </c>
      <c r="I62" s="193" t="s">
        <v>90</v>
      </c>
    </row>
    <row r="63" spans="2:9" ht="51" customHeight="1" x14ac:dyDescent="0.35">
      <c r="B63" s="191">
        <v>44901</v>
      </c>
      <c r="C63" s="199" t="s">
        <v>252</v>
      </c>
      <c r="D63" s="193" t="s">
        <v>79</v>
      </c>
      <c r="E63" s="193" t="s">
        <v>55</v>
      </c>
      <c r="F63" s="193" t="s">
        <v>57</v>
      </c>
      <c r="G63" s="193" t="s">
        <v>90</v>
      </c>
      <c r="H63" s="193" t="s">
        <v>80</v>
      </c>
      <c r="I63" s="193" t="s">
        <v>158</v>
      </c>
    </row>
    <row r="64" spans="2:9" ht="56" x14ac:dyDescent="0.35">
      <c r="B64" s="191">
        <v>44901</v>
      </c>
      <c r="C64" s="199" t="s">
        <v>253</v>
      </c>
      <c r="D64" s="193" t="s">
        <v>81</v>
      </c>
      <c r="E64" s="193" t="s">
        <v>55</v>
      </c>
      <c r="F64" s="193" t="s">
        <v>254</v>
      </c>
      <c r="G64" s="193" t="s">
        <v>90</v>
      </c>
      <c r="H64" s="193" t="s">
        <v>80</v>
      </c>
      <c r="I64" s="193" t="s">
        <v>158</v>
      </c>
    </row>
    <row r="65" spans="2:9" ht="79.5" customHeight="1" x14ac:dyDescent="0.35">
      <c r="B65" s="191">
        <v>44903</v>
      </c>
      <c r="C65" s="192" t="s">
        <v>255</v>
      </c>
      <c r="D65" s="193" t="s">
        <v>256</v>
      </c>
      <c r="E65" s="193" t="s">
        <v>55</v>
      </c>
      <c r="F65" s="193" t="s">
        <v>257</v>
      </c>
      <c r="G65" s="193" t="s">
        <v>158</v>
      </c>
      <c r="H65" s="193" t="s">
        <v>75</v>
      </c>
      <c r="I65" s="193"/>
    </row>
    <row r="66" spans="2:9" ht="34.5" customHeight="1" x14ac:dyDescent="0.35">
      <c r="B66" s="176">
        <v>44935</v>
      </c>
      <c r="C66" s="194" t="s">
        <v>258</v>
      </c>
      <c r="D66" s="178" t="s">
        <v>81</v>
      </c>
      <c r="E66" s="178" t="s">
        <v>21</v>
      </c>
      <c r="F66" s="178">
        <v>96</v>
      </c>
      <c r="G66" s="178" t="s">
        <v>90</v>
      </c>
      <c r="H66" s="178" t="s">
        <v>157</v>
      </c>
      <c r="I66" s="178"/>
    </row>
    <row r="67" spans="2:9" x14ac:dyDescent="0.35">
      <c r="B67" s="176">
        <v>44935</v>
      </c>
      <c r="C67" s="194" t="s">
        <v>259</v>
      </c>
      <c r="D67" s="178"/>
      <c r="E67" s="178"/>
      <c r="F67" s="178"/>
      <c r="G67" s="178"/>
      <c r="H67" s="178"/>
      <c r="I67" s="178"/>
    </row>
    <row r="68" spans="2:9" ht="39.75" customHeight="1" x14ac:dyDescent="0.35">
      <c r="B68" s="176">
        <v>44943</v>
      </c>
      <c r="C68" s="194" t="s">
        <v>260</v>
      </c>
      <c r="D68" s="178" t="s">
        <v>85</v>
      </c>
      <c r="E68" s="178" t="s">
        <v>21</v>
      </c>
      <c r="F68" s="178" t="s">
        <v>261</v>
      </c>
      <c r="G68" s="178" t="s">
        <v>90</v>
      </c>
      <c r="H68" s="178" t="s">
        <v>155</v>
      </c>
      <c r="I68" s="178"/>
    </row>
    <row r="69" spans="2:9" x14ac:dyDescent="0.35">
      <c r="B69" s="176"/>
      <c r="C69" s="194" t="s">
        <v>262</v>
      </c>
      <c r="D69" s="178"/>
      <c r="E69" s="178"/>
      <c r="F69" s="178"/>
      <c r="G69" s="178"/>
      <c r="H69" s="178"/>
      <c r="I69" s="178"/>
    </row>
    <row r="70" spans="2:9" x14ac:dyDescent="0.35">
      <c r="B70" s="176"/>
      <c r="C70" s="194"/>
      <c r="D70" s="178"/>
      <c r="E70" s="178"/>
      <c r="F70" s="178"/>
      <c r="G70" s="178"/>
      <c r="H70" s="178"/>
      <c r="I70" s="178"/>
    </row>
    <row r="71" spans="2:9" x14ac:dyDescent="0.35">
      <c r="B71" s="176"/>
      <c r="C71" s="194"/>
      <c r="D71" s="178"/>
      <c r="E71" s="178"/>
      <c r="F71" s="178"/>
      <c r="G71" s="178"/>
      <c r="H71" s="178"/>
      <c r="I71" s="178"/>
    </row>
    <row r="72" spans="2:9" x14ac:dyDescent="0.35">
      <c r="B72" s="176"/>
      <c r="C72" s="194"/>
      <c r="D72" s="178"/>
      <c r="E72" s="178"/>
      <c r="F72" s="178"/>
      <c r="G72" s="178"/>
      <c r="H72" s="178"/>
      <c r="I72" s="178"/>
    </row>
    <row r="73" spans="2:9" x14ac:dyDescent="0.35">
      <c r="B73" s="176"/>
      <c r="C73" s="194"/>
      <c r="D73" s="178"/>
      <c r="E73" s="178"/>
      <c r="F73" s="178"/>
      <c r="G73" s="178"/>
      <c r="H73" s="178"/>
      <c r="I73" s="178"/>
    </row>
    <row r="74" spans="2:9" x14ac:dyDescent="0.35">
      <c r="B74" s="176"/>
      <c r="C74" s="194"/>
      <c r="D74" s="178"/>
      <c r="E74" s="178"/>
      <c r="F74" s="178"/>
      <c r="G74" s="178"/>
      <c r="H74" s="178"/>
      <c r="I74" s="178"/>
    </row>
    <row r="75" spans="2:9" x14ac:dyDescent="0.35">
      <c r="B75" s="176"/>
      <c r="C75" s="194"/>
      <c r="D75" s="178"/>
      <c r="E75" s="178"/>
      <c r="F75" s="178"/>
      <c r="G75" s="178"/>
      <c r="H75" s="178"/>
      <c r="I75" s="178"/>
    </row>
    <row r="76" spans="2:9" x14ac:dyDescent="0.35">
      <c r="B76" s="176"/>
      <c r="C76" s="194"/>
      <c r="D76" s="178"/>
      <c r="E76" s="178"/>
      <c r="F76" s="178"/>
      <c r="G76" s="178"/>
      <c r="H76" s="178"/>
      <c r="I76" s="178"/>
    </row>
    <row r="79" spans="2:9" x14ac:dyDescent="0.35">
      <c r="D79" s="210"/>
    </row>
  </sheetData>
  <sheetProtection algorithmName="SHA-512" hashValue="3M4dZ6Nuy3UNSprZJ2y3wKUt0757tR5fVcccjR1h0mD3Iltq+xe7jMV5Xls+cXGNUZIpN2C6K1A1vL2s+33F7w==" saltValue="7M06XSGbYz4Lq3gF0H4VUg==" spinCount="100000" sheet="1" objects="1" scenarios="1"/>
  <autoFilter ref="B4:I69" xr:uid="{D97D043E-07F6-4B05-9765-6745BF211E69}"/>
  <mergeCells count="1">
    <mergeCell ref="B2:H2"/>
  </mergeCells>
  <hyperlinks>
    <hyperlink ref="C5" location="'01_Generalidades_Estructura'!D43" display="Cambiar el número de versión a 2.0  en el encabezado de los XML." xr:uid="{9F211E1C-4369-4A9A-AAB0-20E3648EB39E}"/>
    <hyperlink ref="C6" location="'02_Fiduciarias_Validaciones'!L13" display="'02_Fiduciarias_Validaciones'!L13" xr:uid="{9FCC3366-EF2C-4C31-A41E-287059B30317}"/>
    <hyperlink ref="C7" location="'02_Fiduciarias_Validaciones'!L14" display="'02_Fiduciarias_Validaciones'!L14" xr:uid="{860815DC-7325-4DB0-9DD4-AD8B88AFD9E2}"/>
    <hyperlink ref="C11" location="'03_Reales_Validaciones'!B18" display="Se modica el número de validación al al numero 13. ( había 2 validaciones con el número 2)" xr:uid="{B50E00A4-454F-44BE-97C7-A31AA15B7F61}"/>
    <hyperlink ref="C10" location="'03_Reales_Validaciones'!L7" display="Se le excluye conjunción &quot;y&quot; a la validación." xr:uid="{4852257E-6AF3-4C2B-945E-CE398DF1B826}"/>
    <hyperlink ref="C12" location="'04_Valores_Validaciones'!K10" display="Se modifica la validación 5, de valores.  Una palabra repectida en el nombre del campo,  de forma. " xr:uid="{D8480F8A-D179-4FB7-8541-872F842CEAAB}"/>
    <hyperlink ref="C14" location="'03_Reales_Validaciones'!B19" display="Se trasladan las validaciones de la matriz de &quot;Tipo Colateral Real&quot;, 5 validaciones de la 14 a la 18. " xr:uid="{1BDD743E-3C05-438A-9D5B-C5EA4EA37AAF}"/>
    <hyperlink ref="C13" location="'04_Valores_Validaciones'!B29" display="Se traspasan las validaciones de la MATRIZ de Empresas calificadoras al achivo de Garantías valores.  Validaciones de la 24 a la 109" xr:uid="{F9865D34-BD20-44B1-864D-DAEFA757A764}"/>
    <hyperlink ref="C15" location="'04_Valores_Validaciones'!B115" display="Se traslada validaciones de la matriz Tipo colateral financiero:  Tipo colateral código del instrumento." xr:uid="{F2F4FAB8-124A-4E9D-B049-47EC69B4BC10}"/>
    <hyperlink ref="D19" location="'04_Valores Estructura'!B28" display="'04_Valores Estructura'!B28" xr:uid="{5B12EE5C-C9F7-4344-9301-CE1F8A2CDAAD}"/>
    <hyperlink ref="E19" location="'04_Valores_Descripcion'!B17" display="campo CodigoCalificacionRiesgo" xr:uid="{2CCD7065-95B5-4330-A908-C5C0C9FB9FAC}"/>
  </hyperlinks>
  <pageMargins left="0.7" right="0.7" top="0.75" bottom="0.75" header="0.3" footer="0.3"/>
  <pageSetup orientation="portrait" r:id="rId1"/>
  <headerFooter>
    <oddFooter>&amp;C&amp;1#&amp;"Calibri"&amp;10&amp;K000000Uso Interno</oddFooter>
  </headerFooter>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BB04CE89-53EF-4F5D-BFF3-B862BFEAC813}">
          <x14:formula1>
            <xm:f>#REF!</xm:f>
          </x14:formula1>
          <xm:sqref>D52</xm:sqref>
        </x14:dataValidation>
        <x14:dataValidation type="list" allowBlank="1" showInputMessage="1" showErrorMessage="1" xr:uid="{159B79F7-1820-42C4-AD1E-A658E79B53AF}">
          <x14:formula1>
            <xm:f>#REF!</xm:f>
          </x14:formula1>
          <xm:sqref>D79 D29:D51 D53:D76</xm:sqref>
        </x14:dataValidation>
        <x14:dataValidation type="list" allowBlank="1" showInputMessage="1" showErrorMessage="1" xr:uid="{57738DEF-E922-453C-A3AA-45766E94D9AC}">
          <x14:formula1>
            <xm:f>#REF!</xm:f>
          </x14:formula1>
          <xm:sqref>G5:G76 I5:I76</xm:sqref>
        </x14:dataValidation>
        <x14:dataValidation type="list" allowBlank="1" showInputMessage="1" showErrorMessage="1" xr:uid="{D49884B0-6471-4755-9D49-3D31864D1044}">
          <x14:formula1>
            <xm:f>#REF!</xm:f>
          </x14:formula1>
          <xm:sqref>H5:H76</xm:sqref>
        </x14:dataValidation>
        <x14:dataValidation type="list" allowBlank="1" showInputMessage="1" showErrorMessage="1" xr:uid="{7D82BD1D-14C8-402A-8249-119C05D12D46}">
          <x14:formula1>
            <xm:f>#REF!</xm:f>
          </x14:formula1>
          <xm:sqref>E29:E76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593EC-B717-4A2A-9E5E-94F1EA5F1CFB}">
  <sheetPr codeName="Hoja3">
    <tabColor rgb="FFC00000"/>
  </sheetPr>
  <dimension ref="A1:E19"/>
  <sheetViews>
    <sheetView showGridLines="0" topLeftCell="A7" zoomScale="125" zoomScaleNormal="125" workbookViewId="0"/>
  </sheetViews>
  <sheetFormatPr baseColWidth="10" defaultColWidth="11.453125" defaultRowHeight="14.5" x14ac:dyDescent="0.35"/>
  <cols>
    <col min="1" max="1" width="20.453125" style="9" customWidth="1"/>
    <col min="2" max="2" width="39.54296875" style="9" customWidth="1"/>
    <col min="3" max="3" width="32.54296875" style="9" customWidth="1"/>
    <col min="4" max="4" width="21.54296875" style="9" customWidth="1"/>
    <col min="5" max="5" width="69" style="9" customWidth="1"/>
    <col min="6" max="16384" width="11.453125" style="9"/>
  </cols>
  <sheetData>
    <row r="1" spans="1:5" x14ac:dyDescent="0.35">
      <c r="A1" s="20" t="s">
        <v>263</v>
      </c>
      <c r="B1" s="21" t="s">
        <v>264</v>
      </c>
    </row>
    <row r="2" spans="1:5" ht="45.75" customHeight="1" x14ac:dyDescent="0.35">
      <c r="A2" s="389" t="s">
        <v>265</v>
      </c>
      <c r="B2" s="389"/>
      <c r="C2" s="389"/>
      <c r="D2" s="389"/>
      <c r="E2" s="389"/>
    </row>
    <row r="3" spans="1:5" ht="6.75" customHeight="1" x14ac:dyDescent="0.35"/>
    <row r="4" spans="1:5" ht="66" customHeight="1" x14ac:dyDescent="0.35">
      <c r="A4" s="20" t="s">
        <v>266</v>
      </c>
      <c r="B4" s="20" t="s">
        <v>267</v>
      </c>
      <c r="C4" s="20" t="s">
        <v>268</v>
      </c>
      <c r="D4" s="20" t="s">
        <v>269</v>
      </c>
      <c r="E4" s="20" t="s">
        <v>270</v>
      </c>
    </row>
    <row r="5" spans="1:5" x14ac:dyDescent="0.35">
      <c r="A5" s="21" t="s">
        <v>271</v>
      </c>
      <c r="B5" s="21" t="s">
        <v>272</v>
      </c>
      <c r="C5" s="21" t="s">
        <v>272</v>
      </c>
      <c r="D5" s="21"/>
      <c r="E5" s="21"/>
    </row>
    <row r="6" spans="1:5" x14ac:dyDescent="0.35">
      <c r="A6" s="21" t="s">
        <v>271</v>
      </c>
      <c r="B6" s="21" t="s">
        <v>272</v>
      </c>
      <c r="C6" s="21" t="s">
        <v>272</v>
      </c>
      <c r="D6" s="21"/>
      <c r="E6" s="21"/>
    </row>
    <row r="7" spans="1:5" x14ac:dyDescent="0.35">
      <c r="A7" s="21" t="s">
        <v>271</v>
      </c>
      <c r="B7" s="21" t="s">
        <v>272</v>
      </c>
      <c r="C7" s="21" t="s">
        <v>272</v>
      </c>
      <c r="D7" s="21"/>
      <c r="E7" s="21"/>
    </row>
    <row r="8" spans="1:5" x14ac:dyDescent="0.35">
      <c r="A8" s="21" t="s">
        <v>271</v>
      </c>
      <c r="B8" s="21" t="s">
        <v>272</v>
      </c>
      <c r="C8" s="21" t="s">
        <v>272</v>
      </c>
      <c r="D8" s="21"/>
      <c r="E8" s="21"/>
    </row>
    <row r="9" spans="1:5" x14ac:dyDescent="0.35">
      <c r="A9" s="21" t="s">
        <v>271</v>
      </c>
      <c r="B9" s="21" t="s">
        <v>272</v>
      </c>
      <c r="C9" s="21" t="s">
        <v>272</v>
      </c>
      <c r="D9" s="21"/>
      <c r="E9" s="21"/>
    </row>
    <row r="10" spans="1:5" x14ac:dyDescent="0.35">
      <c r="A10" s="21" t="s">
        <v>271</v>
      </c>
      <c r="B10" s="21" t="s">
        <v>272</v>
      </c>
      <c r="C10" s="21" t="s">
        <v>272</v>
      </c>
      <c r="D10" s="21"/>
      <c r="E10" s="21"/>
    </row>
    <row r="11" spans="1:5" x14ac:dyDescent="0.35">
      <c r="A11" s="21" t="s">
        <v>271</v>
      </c>
      <c r="B11" s="21" t="s">
        <v>272</v>
      </c>
      <c r="C11" s="21" t="s">
        <v>272</v>
      </c>
      <c r="D11" s="21"/>
      <c r="E11" s="21"/>
    </row>
    <row r="12" spans="1:5" x14ac:dyDescent="0.35">
      <c r="A12" s="21" t="s">
        <v>271</v>
      </c>
      <c r="B12" s="21" t="s">
        <v>272</v>
      </c>
      <c r="C12" s="21" t="s">
        <v>272</v>
      </c>
      <c r="D12" s="21"/>
      <c r="E12" s="21"/>
    </row>
    <row r="13" spans="1:5" x14ac:dyDescent="0.35">
      <c r="A13" s="21" t="s">
        <v>271</v>
      </c>
      <c r="B13" s="21" t="s">
        <v>272</v>
      </c>
      <c r="C13" s="21" t="s">
        <v>272</v>
      </c>
      <c r="D13" s="21"/>
      <c r="E13" s="21"/>
    </row>
    <row r="14" spans="1:5" x14ac:dyDescent="0.35">
      <c r="A14" s="21" t="s">
        <v>271</v>
      </c>
      <c r="B14" s="21" t="s">
        <v>272</v>
      </c>
      <c r="C14" s="21" t="s">
        <v>272</v>
      </c>
      <c r="D14" s="21"/>
      <c r="E14" s="21"/>
    </row>
    <row r="15" spans="1:5" x14ac:dyDescent="0.35">
      <c r="A15" s="21" t="s">
        <v>271</v>
      </c>
      <c r="B15" s="21" t="s">
        <v>272</v>
      </c>
      <c r="C15" s="21" t="s">
        <v>272</v>
      </c>
      <c r="D15" s="21"/>
      <c r="E15" s="21"/>
    </row>
    <row r="16" spans="1:5" x14ac:dyDescent="0.35">
      <c r="A16" s="21" t="s">
        <v>271</v>
      </c>
      <c r="B16" s="21" t="s">
        <v>272</v>
      </c>
      <c r="C16" s="21" t="s">
        <v>272</v>
      </c>
      <c r="D16" s="21"/>
      <c r="E16" s="21"/>
    </row>
    <row r="17" spans="1:5" x14ac:dyDescent="0.35">
      <c r="A17" s="21" t="s">
        <v>271</v>
      </c>
      <c r="B17" s="21" t="s">
        <v>272</v>
      </c>
      <c r="C17" s="21" t="s">
        <v>272</v>
      </c>
      <c r="D17" s="21"/>
      <c r="E17" s="21"/>
    </row>
    <row r="18" spans="1:5" x14ac:dyDescent="0.35">
      <c r="A18" s="21" t="s">
        <v>271</v>
      </c>
      <c r="B18" s="21" t="s">
        <v>272</v>
      </c>
      <c r="C18" s="21" t="s">
        <v>272</v>
      </c>
      <c r="D18" s="21"/>
      <c r="E18" s="21"/>
    </row>
    <row r="19" spans="1:5" x14ac:dyDescent="0.35">
      <c r="A19" s="21" t="s">
        <v>271</v>
      </c>
      <c r="B19" s="21" t="s">
        <v>272</v>
      </c>
      <c r="C19" s="21" t="s">
        <v>272</v>
      </c>
      <c r="D19" s="21"/>
      <c r="E19" s="21"/>
    </row>
  </sheetData>
  <sheetProtection algorithmName="SHA-512" hashValue="jFYVR/TV6e2Pn7vVcNWSaJ+HzptJHmNcqEALur/lTBJG1wncEtMKekjw31GoJDowMxPNG69I33mNyb2jD4YGEQ==" saltValue="EaBhFvnwTffx05lN1RI5bw==" spinCount="100000" sheet="1" objects="1" scenarios="1"/>
  <mergeCells count="1">
    <mergeCell ref="A2:E2"/>
  </mergeCells>
  <pageMargins left="0.7" right="0.7" top="0.75" bottom="0.75" header="0.3" footer="0.3"/>
  <pageSetup orientation="portrait" r:id="rId1"/>
  <headerFooter>
    <oddFooter>&amp;C&amp;1#&amp;"Calibri"&amp;10&amp;K000000Uso Interno</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AE41C19-CA5F-4BB0-8EE9-5BBE41ADE0CB}">
          <x14:formula1>
            <xm:f>Listas!$B$5:$B$35</xm:f>
          </x14:formula1>
          <xm:sqref>B5:B19</xm:sqref>
        </x14:dataValidation>
        <x14:dataValidation type="list" allowBlank="1" showInputMessage="1" showErrorMessage="1" xr:uid="{6A48F482-FC4B-4DFF-AEF6-002805A2E3EC}">
          <x14:formula1>
            <xm:f>Listas!$A$5:$A$9</xm:f>
          </x14:formula1>
          <xm:sqref>A5:A20</xm:sqref>
        </x14:dataValidation>
        <x14:dataValidation type="list" allowBlank="1" showInputMessage="1" showErrorMessage="1" xr:uid="{F95BF434-70B5-4F7F-83EF-1892C0AC26A5}">
          <x14:formula1>
            <xm:f>Listas!$C$5:$C$63</xm:f>
          </x14:formula1>
          <xm:sqref>C5:C19</xm:sqref>
        </x14:dataValidation>
        <x14:dataValidation type="list" allowBlank="1" showInputMessage="1" showErrorMessage="1" xr:uid="{EBA7AB4A-2EBB-4E8F-BBB7-25DCE1BFE577}">
          <x14:formula1>
            <xm:f>Listas!$D$5:$D$49</xm:f>
          </x14:formula1>
          <xm:sqref>B1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25699-4B25-4623-BC88-9175B1087CFE}">
  <sheetPr codeName="Hoja4"/>
  <dimension ref="A4:D63"/>
  <sheetViews>
    <sheetView showGridLines="0" zoomScale="70" zoomScaleNormal="70" workbookViewId="0">
      <selection activeCell="B6" sqref="B6"/>
    </sheetView>
  </sheetViews>
  <sheetFormatPr baseColWidth="10" defaultColWidth="11.453125" defaultRowHeight="14.5" x14ac:dyDescent="0.35"/>
  <cols>
    <col min="1" max="1" width="18.453125" customWidth="1"/>
    <col min="2" max="2" width="51.54296875" bestFit="1" customWidth="1"/>
    <col min="3" max="3" width="83.54296875" bestFit="1" customWidth="1"/>
    <col min="4" max="4" width="40" customWidth="1"/>
  </cols>
  <sheetData>
    <row r="4" spans="1:4" x14ac:dyDescent="0.35">
      <c r="A4" s="4" t="s">
        <v>273</v>
      </c>
      <c r="B4" s="5" t="s">
        <v>274</v>
      </c>
      <c r="C4" s="6" t="s">
        <v>275</v>
      </c>
      <c r="D4" s="7" t="s">
        <v>276</v>
      </c>
    </row>
    <row r="5" spans="1:4" x14ac:dyDescent="0.35">
      <c r="A5" s="3" t="s">
        <v>271</v>
      </c>
      <c r="B5" t="s">
        <v>272</v>
      </c>
      <c r="C5" t="s">
        <v>272</v>
      </c>
      <c r="D5" s="1" t="s">
        <v>264</v>
      </c>
    </row>
    <row r="6" spans="1:4" x14ac:dyDescent="0.35">
      <c r="A6" t="s">
        <v>277</v>
      </c>
      <c r="B6" t="s">
        <v>278</v>
      </c>
      <c r="C6" s="8" t="s">
        <v>279</v>
      </c>
      <c r="D6" s="1" t="s">
        <v>280</v>
      </c>
    </row>
    <row r="7" spans="1:4" x14ac:dyDescent="0.35">
      <c r="A7" t="s">
        <v>281</v>
      </c>
      <c r="B7" t="s">
        <v>282</v>
      </c>
      <c r="C7" s="8" t="s">
        <v>283</v>
      </c>
      <c r="D7" s="1" t="s">
        <v>284</v>
      </c>
    </row>
    <row r="8" spans="1:4" x14ac:dyDescent="0.35">
      <c r="A8" t="s">
        <v>285</v>
      </c>
      <c r="B8" t="s">
        <v>286</v>
      </c>
      <c r="C8" s="8" t="s">
        <v>287</v>
      </c>
      <c r="D8" s="1" t="s">
        <v>288</v>
      </c>
    </row>
    <row r="9" spans="1:4" x14ac:dyDescent="0.35">
      <c r="A9" t="s">
        <v>289</v>
      </c>
      <c r="B9" t="s">
        <v>290</v>
      </c>
      <c r="C9" s="8" t="s">
        <v>291</v>
      </c>
      <c r="D9" s="1" t="s">
        <v>292</v>
      </c>
    </row>
    <row r="10" spans="1:4" x14ac:dyDescent="0.35">
      <c r="B10" t="s">
        <v>293</v>
      </c>
      <c r="C10" s="8" t="s">
        <v>294</v>
      </c>
      <c r="D10" s="1" t="s">
        <v>295</v>
      </c>
    </row>
    <row r="11" spans="1:4" x14ac:dyDescent="0.35">
      <c r="B11" t="s">
        <v>296</v>
      </c>
      <c r="C11" s="8" t="s">
        <v>297</v>
      </c>
      <c r="D11" s="1" t="s">
        <v>298</v>
      </c>
    </row>
    <row r="12" spans="1:4" x14ac:dyDescent="0.35">
      <c r="B12" t="s">
        <v>299</v>
      </c>
      <c r="C12" s="8" t="s">
        <v>300</v>
      </c>
      <c r="D12" s="1" t="s">
        <v>301</v>
      </c>
    </row>
    <row r="13" spans="1:4" x14ac:dyDescent="0.35">
      <c r="B13" t="s">
        <v>302</v>
      </c>
      <c r="C13" s="8" t="s">
        <v>303</v>
      </c>
      <c r="D13" s="1" t="s">
        <v>304</v>
      </c>
    </row>
    <row r="14" spans="1:4" x14ac:dyDescent="0.35">
      <c r="B14" t="s">
        <v>305</v>
      </c>
      <c r="C14" s="8" t="s">
        <v>306</v>
      </c>
      <c r="D14" s="1" t="s">
        <v>307</v>
      </c>
    </row>
    <row r="15" spans="1:4" x14ac:dyDescent="0.35">
      <c r="B15" t="s">
        <v>308</v>
      </c>
      <c r="C15" s="8" t="s">
        <v>309</v>
      </c>
      <c r="D15" s="1" t="s">
        <v>310</v>
      </c>
    </row>
    <row r="16" spans="1:4" x14ac:dyDescent="0.35">
      <c r="B16" t="s">
        <v>311</v>
      </c>
      <c r="C16" s="8" t="s">
        <v>312</v>
      </c>
      <c r="D16" s="1" t="s">
        <v>313</v>
      </c>
    </row>
    <row r="17" spans="2:4" x14ac:dyDescent="0.35">
      <c r="B17" t="s">
        <v>314</v>
      </c>
      <c r="C17" s="8" t="s">
        <v>315</v>
      </c>
      <c r="D17" s="1" t="s">
        <v>316</v>
      </c>
    </row>
    <row r="18" spans="2:4" x14ac:dyDescent="0.35">
      <c r="B18" t="s">
        <v>317</v>
      </c>
      <c r="C18" s="8" t="s">
        <v>318</v>
      </c>
      <c r="D18" s="1" t="s">
        <v>319</v>
      </c>
    </row>
    <row r="19" spans="2:4" x14ac:dyDescent="0.35">
      <c r="B19" t="s">
        <v>320</v>
      </c>
      <c r="C19" s="8" t="s">
        <v>321</v>
      </c>
      <c r="D19" s="1" t="s">
        <v>322</v>
      </c>
    </row>
    <row r="20" spans="2:4" x14ac:dyDescent="0.35">
      <c r="B20" t="s">
        <v>323</v>
      </c>
      <c r="C20" s="8" t="s">
        <v>324</v>
      </c>
      <c r="D20" s="1" t="s">
        <v>325</v>
      </c>
    </row>
    <row r="21" spans="2:4" x14ac:dyDescent="0.35">
      <c r="B21" t="s">
        <v>326</v>
      </c>
      <c r="C21" s="8" t="s">
        <v>327</v>
      </c>
      <c r="D21" s="1" t="s">
        <v>328</v>
      </c>
    </row>
    <row r="22" spans="2:4" x14ac:dyDescent="0.35">
      <c r="B22" t="s">
        <v>329</v>
      </c>
      <c r="C22" s="8" t="s">
        <v>330</v>
      </c>
      <c r="D22" s="1" t="s">
        <v>331</v>
      </c>
    </row>
    <row r="23" spans="2:4" x14ac:dyDescent="0.35">
      <c r="B23" t="s">
        <v>332</v>
      </c>
      <c r="C23" s="8" t="s">
        <v>333</v>
      </c>
      <c r="D23" s="1" t="s">
        <v>334</v>
      </c>
    </row>
    <row r="24" spans="2:4" x14ac:dyDescent="0.35">
      <c r="B24" t="s">
        <v>335</v>
      </c>
      <c r="C24" s="8" t="s">
        <v>336</v>
      </c>
      <c r="D24" s="1" t="s">
        <v>337</v>
      </c>
    </row>
    <row r="25" spans="2:4" x14ac:dyDescent="0.35">
      <c r="B25" t="s">
        <v>338</v>
      </c>
      <c r="C25" s="8" t="s">
        <v>339</v>
      </c>
      <c r="D25" s="1" t="s">
        <v>340</v>
      </c>
    </row>
    <row r="26" spans="2:4" x14ac:dyDescent="0.35">
      <c r="B26" t="s">
        <v>341</v>
      </c>
      <c r="C26" s="8" t="s">
        <v>342</v>
      </c>
      <c r="D26" s="1" t="s">
        <v>343</v>
      </c>
    </row>
    <row r="27" spans="2:4" x14ac:dyDescent="0.35">
      <c r="B27" t="s">
        <v>344</v>
      </c>
      <c r="C27" s="8" t="s">
        <v>345</v>
      </c>
      <c r="D27" s="1" t="s">
        <v>346</v>
      </c>
    </row>
    <row r="28" spans="2:4" x14ac:dyDescent="0.35">
      <c r="B28" t="s">
        <v>347</v>
      </c>
      <c r="C28" s="8" t="s">
        <v>348</v>
      </c>
      <c r="D28" s="1" t="s">
        <v>349</v>
      </c>
    </row>
    <row r="29" spans="2:4" x14ac:dyDescent="0.35">
      <c r="B29" t="s">
        <v>350</v>
      </c>
      <c r="C29" s="8" t="s">
        <v>351</v>
      </c>
      <c r="D29" s="1" t="s">
        <v>352</v>
      </c>
    </row>
    <row r="30" spans="2:4" x14ac:dyDescent="0.35">
      <c r="B30" t="s">
        <v>353</v>
      </c>
      <c r="C30" s="8" t="s">
        <v>354</v>
      </c>
      <c r="D30" s="1" t="s">
        <v>355</v>
      </c>
    </row>
    <row r="31" spans="2:4" x14ac:dyDescent="0.35">
      <c r="B31" t="s">
        <v>356</v>
      </c>
      <c r="C31" s="8" t="s">
        <v>357</v>
      </c>
      <c r="D31" s="1" t="s">
        <v>358</v>
      </c>
    </row>
    <row r="32" spans="2:4" x14ac:dyDescent="0.35">
      <c r="B32" t="s">
        <v>359</v>
      </c>
      <c r="C32" s="8" t="s">
        <v>360</v>
      </c>
      <c r="D32" s="1" t="s">
        <v>361</v>
      </c>
    </row>
    <row r="33" spans="2:4" x14ac:dyDescent="0.35">
      <c r="B33" t="s">
        <v>362</v>
      </c>
      <c r="C33" s="8" t="s">
        <v>363</v>
      </c>
      <c r="D33" s="1" t="s">
        <v>364</v>
      </c>
    </row>
    <row r="34" spans="2:4" x14ac:dyDescent="0.35">
      <c r="B34" t="s">
        <v>365</v>
      </c>
      <c r="C34" s="8" t="s">
        <v>366</v>
      </c>
      <c r="D34" s="1" t="s">
        <v>367</v>
      </c>
    </row>
    <row r="35" spans="2:4" x14ac:dyDescent="0.35">
      <c r="B35" t="s">
        <v>368</v>
      </c>
      <c r="C35" s="8" t="s">
        <v>369</v>
      </c>
      <c r="D35" s="1" t="s">
        <v>370</v>
      </c>
    </row>
    <row r="36" spans="2:4" x14ac:dyDescent="0.35">
      <c r="C36" s="8" t="s">
        <v>371</v>
      </c>
      <c r="D36" s="1" t="s">
        <v>372</v>
      </c>
    </row>
    <row r="37" spans="2:4" x14ac:dyDescent="0.35">
      <c r="C37" s="8" t="s">
        <v>373</v>
      </c>
      <c r="D37" s="1" t="s">
        <v>374</v>
      </c>
    </row>
    <row r="38" spans="2:4" x14ac:dyDescent="0.35">
      <c r="C38" s="8" t="s">
        <v>375</v>
      </c>
      <c r="D38" s="1" t="s">
        <v>376</v>
      </c>
    </row>
    <row r="39" spans="2:4" x14ac:dyDescent="0.35">
      <c r="C39" s="8" t="s">
        <v>377</v>
      </c>
      <c r="D39" s="1" t="s">
        <v>378</v>
      </c>
    </row>
    <row r="40" spans="2:4" x14ac:dyDescent="0.35">
      <c r="C40" s="8" t="s">
        <v>379</v>
      </c>
      <c r="D40" s="1" t="s">
        <v>380</v>
      </c>
    </row>
    <row r="41" spans="2:4" x14ac:dyDescent="0.35">
      <c r="C41" s="8" t="s">
        <v>381</v>
      </c>
      <c r="D41" s="1" t="s">
        <v>382</v>
      </c>
    </row>
    <row r="42" spans="2:4" x14ac:dyDescent="0.35">
      <c r="C42" s="8" t="s">
        <v>383</v>
      </c>
      <c r="D42" s="1" t="s">
        <v>384</v>
      </c>
    </row>
    <row r="43" spans="2:4" x14ac:dyDescent="0.35">
      <c r="C43" s="8" t="s">
        <v>385</v>
      </c>
      <c r="D43" s="1" t="s">
        <v>386</v>
      </c>
    </row>
    <row r="44" spans="2:4" x14ac:dyDescent="0.35">
      <c r="C44" s="8" t="s">
        <v>387</v>
      </c>
      <c r="D44" s="1" t="s">
        <v>388</v>
      </c>
    </row>
    <row r="45" spans="2:4" x14ac:dyDescent="0.35">
      <c r="C45" s="8" t="s">
        <v>389</v>
      </c>
      <c r="D45" s="1" t="s">
        <v>390</v>
      </c>
    </row>
    <row r="46" spans="2:4" x14ac:dyDescent="0.35">
      <c r="C46" s="8" t="s">
        <v>391</v>
      </c>
      <c r="D46" s="1" t="s">
        <v>392</v>
      </c>
    </row>
    <row r="47" spans="2:4" x14ac:dyDescent="0.35">
      <c r="C47" s="8" t="s">
        <v>393</v>
      </c>
      <c r="D47" s="1" t="s">
        <v>394</v>
      </c>
    </row>
    <row r="48" spans="2:4" x14ac:dyDescent="0.35">
      <c r="C48" s="8" t="s">
        <v>395</v>
      </c>
      <c r="D48" s="1" t="s">
        <v>396</v>
      </c>
    </row>
    <row r="49" spans="3:4" x14ac:dyDescent="0.35">
      <c r="C49" s="8" t="s">
        <v>397</v>
      </c>
      <c r="D49" s="2" t="s">
        <v>398</v>
      </c>
    </row>
    <row r="50" spans="3:4" x14ac:dyDescent="0.35">
      <c r="C50" s="8" t="s">
        <v>399</v>
      </c>
      <c r="D50" s="1"/>
    </row>
    <row r="51" spans="3:4" x14ac:dyDescent="0.35">
      <c r="C51" s="8" t="s">
        <v>400</v>
      </c>
      <c r="D51" s="1"/>
    </row>
    <row r="52" spans="3:4" x14ac:dyDescent="0.35">
      <c r="C52" s="8" t="s">
        <v>401</v>
      </c>
    </row>
    <row r="53" spans="3:4" x14ac:dyDescent="0.35">
      <c r="C53" s="8" t="s">
        <v>402</v>
      </c>
    </row>
    <row r="54" spans="3:4" x14ac:dyDescent="0.35">
      <c r="C54" s="8" t="s">
        <v>403</v>
      </c>
    </row>
    <row r="55" spans="3:4" x14ac:dyDescent="0.35">
      <c r="C55" s="8" t="s">
        <v>404</v>
      </c>
    </row>
    <row r="56" spans="3:4" x14ac:dyDescent="0.35">
      <c r="C56" s="8" t="s">
        <v>405</v>
      </c>
    </row>
    <row r="57" spans="3:4" x14ac:dyDescent="0.35">
      <c r="C57" s="8" t="s">
        <v>406</v>
      </c>
    </row>
    <row r="58" spans="3:4" x14ac:dyDescent="0.35">
      <c r="C58" s="8" t="s">
        <v>407</v>
      </c>
    </row>
    <row r="59" spans="3:4" x14ac:dyDescent="0.35">
      <c r="C59" s="8" t="s">
        <v>408</v>
      </c>
    </row>
    <row r="60" spans="3:4" x14ac:dyDescent="0.35">
      <c r="C60" s="8" t="s">
        <v>409</v>
      </c>
    </row>
    <row r="61" spans="3:4" x14ac:dyDescent="0.35">
      <c r="C61" s="8" t="s">
        <v>410</v>
      </c>
    </row>
    <row r="62" spans="3:4" x14ac:dyDescent="0.35">
      <c r="C62" s="8" t="s">
        <v>411</v>
      </c>
    </row>
    <row r="63" spans="3:4" x14ac:dyDescent="0.35">
      <c r="C63" s="8" t="s">
        <v>412</v>
      </c>
    </row>
  </sheetData>
  <autoFilter ref="C4:C122" xr:uid="{3B131AA5-2E8E-4803-9FBE-AE45B1F21193}"/>
  <pageMargins left="0.7" right="0.7" top="0.75" bottom="0.75" header="0.3" footer="0.3"/>
  <pageSetup orientation="portrait" r:id="rId1"/>
  <headerFooter>
    <oddFooter>&amp;C&amp;1#&amp;"Calibri"&amp;10&amp;K000000Uso Interno</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C92E-5A62-492C-9A6A-4491C240A2A3}">
  <sheetPr codeName="Hoja56">
    <tabColor rgb="FF00B050"/>
  </sheetPr>
  <dimension ref="A1:F1920"/>
  <sheetViews>
    <sheetView showGridLines="0" topLeftCell="A1905" zoomScale="85" zoomScaleNormal="85" workbookViewId="0">
      <selection activeCell="D1916" sqref="D1916"/>
    </sheetView>
  </sheetViews>
  <sheetFormatPr baseColWidth="10" defaultColWidth="6.54296875" defaultRowHeight="14.5" x14ac:dyDescent="0.35"/>
  <cols>
    <col min="1" max="1" width="7.54296875" style="25" bestFit="1" customWidth="1"/>
    <col min="2" max="2" width="49.54296875" style="25" bestFit="1" customWidth="1"/>
    <col min="3" max="3" width="10.54296875" style="25" bestFit="1" customWidth="1"/>
    <col min="4" max="4" width="49.54296875" style="26" customWidth="1"/>
    <col min="5" max="5" width="12.453125" style="27" bestFit="1" customWidth="1"/>
    <col min="6" max="6" width="101.54296875" style="28" bestFit="1" customWidth="1"/>
    <col min="7" max="16384" width="6.54296875" style="10"/>
  </cols>
  <sheetData>
    <row r="1" spans="1:6" x14ac:dyDescent="0.35">
      <c r="A1" s="24" t="s">
        <v>413</v>
      </c>
    </row>
    <row r="2" spans="1:6" x14ac:dyDescent="0.35">
      <c r="A2" s="24" t="s">
        <v>414</v>
      </c>
    </row>
    <row r="5" spans="1:6" x14ac:dyDescent="0.35">
      <c r="B5" s="25" t="s">
        <v>415</v>
      </c>
      <c r="C5" s="25" t="s">
        <v>416</v>
      </c>
      <c r="D5" s="26" t="s">
        <v>417</v>
      </c>
      <c r="E5" s="27" t="s">
        <v>418</v>
      </c>
      <c r="F5" s="28" t="s">
        <v>419</v>
      </c>
    </row>
    <row r="6" spans="1:6" x14ac:dyDescent="0.35">
      <c r="B6" s="29" t="s">
        <v>283</v>
      </c>
      <c r="C6" s="30">
        <v>1</v>
      </c>
      <c r="D6" s="31" t="s">
        <v>420</v>
      </c>
      <c r="E6" s="30"/>
      <c r="F6" s="32"/>
    </row>
    <row r="7" spans="1:6" x14ac:dyDescent="0.35">
      <c r="B7" s="29" t="s">
        <v>283</v>
      </c>
      <c r="C7" s="30">
        <v>2</v>
      </c>
      <c r="D7" s="31" t="s">
        <v>421</v>
      </c>
      <c r="E7" s="30"/>
      <c r="F7" s="32"/>
    </row>
    <row r="8" spans="1:6" x14ac:dyDescent="0.35">
      <c r="B8" s="29" t="s">
        <v>283</v>
      </c>
      <c r="C8" s="30">
        <v>3</v>
      </c>
      <c r="D8" s="31" t="s">
        <v>422</v>
      </c>
      <c r="E8" s="30"/>
      <c r="F8" s="32"/>
    </row>
    <row r="9" spans="1:6" x14ac:dyDescent="0.35">
      <c r="B9" s="29" t="s">
        <v>283</v>
      </c>
      <c r="C9" s="30">
        <v>4</v>
      </c>
      <c r="D9" s="31" t="s">
        <v>423</v>
      </c>
      <c r="E9" s="30"/>
      <c r="F9" s="32"/>
    </row>
    <row r="10" spans="1:6" x14ac:dyDescent="0.35">
      <c r="B10" s="29" t="s">
        <v>283</v>
      </c>
      <c r="C10" s="30">
        <v>5</v>
      </c>
      <c r="D10" s="31" t="s">
        <v>424</v>
      </c>
      <c r="E10" s="30"/>
      <c r="F10" s="32"/>
    </row>
    <row r="11" spans="1:6" x14ac:dyDescent="0.35">
      <c r="B11" s="29" t="s">
        <v>283</v>
      </c>
      <c r="C11" s="30">
        <v>6</v>
      </c>
      <c r="D11" s="31" t="s">
        <v>425</v>
      </c>
      <c r="E11" s="30"/>
      <c r="F11" s="32"/>
    </row>
    <row r="12" spans="1:6" x14ac:dyDescent="0.35">
      <c r="B12" s="29" t="s">
        <v>283</v>
      </c>
      <c r="C12" s="30">
        <v>7</v>
      </c>
      <c r="D12" s="31" t="s">
        <v>426</v>
      </c>
      <c r="E12" s="30"/>
      <c r="F12" s="32"/>
    </row>
    <row r="13" spans="1:6" x14ac:dyDescent="0.35">
      <c r="B13" s="29" t="s">
        <v>283</v>
      </c>
      <c r="C13" s="30">
        <v>8</v>
      </c>
      <c r="D13" s="31" t="s">
        <v>427</v>
      </c>
      <c r="E13" s="30"/>
      <c r="F13" s="32"/>
    </row>
    <row r="14" spans="1:6" x14ac:dyDescent="0.35">
      <c r="B14" s="29" t="s">
        <v>283</v>
      </c>
      <c r="C14" s="30">
        <v>9</v>
      </c>
      <c r="D14" s="31" t="s">
        <v>428</v>
      </c>
      <c r="E14" s="30"/>
      <c r="F14" s="32"/>
    </row>
    <row r="15" spans="1:6" x14ac:dyDescent="0.35">
      <c r="B15" s="29" t="s">
        <v>283</v>
      </c>
      <c r="C15" s="30">
        <v>10</v>
      </c>
      <c r="D15" s="31" t="s">
        <v>429</v>
      </c>
      <c r="E15" s="30"/>
      <c r="F15" s="32"/>
    </row>
    <row r="16" spans="1:6" x14ac:dyDescent="0.35">
      <c r="B16" s="29" t="s">
        <v>283</v>
      </c>
      <c r="C16" s="30">
        <v>12</v>
      </c>
      <c r="D16" s="31" t="s">
        <v>430</v>
      </c>
      <c r="E16" s="30"/>
      <c r="F16" s="32"/>
    </row>
    <row r="17" spans="2:6" x14ac:dyDescent="0.35">
      <c r="B17" s="29" t="s">
        <v>283</v>
      </c>
      <c r="C17" s="30">
        <v>13</v>
      </c>
      <c r="D17" s="31" t="s">
        <v>431</v>
      </c>
      <c r="E17" s="30"/>
      <c r="F17" s="32"/>
    </row>
    <row r="18" spans="2:6" x14ac:dyDescent="0.35">
      <c r="B18" s="29" t="s">
        <v>283</v>
      </c>
      <c r="C18" s="30">
        <v>14</v>
      </c>
      <c r="D18" s="31" t="s">
        <v>432</v>
      </c>
      <c r="E18" s="30"/>
      <c r="F18" s="32"/>
    </row>
    <row r="19" spans="2:6" x14ac:dyDescent="0.35">
      <c r="B19" s="29" t="s">
        <v>283</v>
      </c>
      <c r="C19" s="30">
        <v>15</v>
      </c>
      <c r="D19" s="31" t="s">
        <v>281</v>
      </c>
      <c r="E19" s="30"/>
      <c r="F19" s="32"/>
    </row>
    <row r="20" spans="2:6" x14ac:dyDescent="0.35">
      <c r="B20" s="29" t="s">
        <v>283</v>
      </c>
      <c r="C20" s="30">
        <v>16</v>
      </c>
      <c r="D20" s="31" t="s">
        <v>433</v>
      </c>
      <c r="E20" s="30"/>
      <c r="F20" s="32"/>
    </row>
    <row r="21" spans="2:6" x14ac:dyDescent="0.35">
      <c r="B21" s="29" t="s">
        <v>283</v>
      </c>
      <c r="C21" s="30">
        <v>17</v>
      </c>
      <c r="D21" s="31" t="s">
        <v>434</v>
      </c>
      <c r="E21" s="30"/>
      <c r="F21" s="32"/>
    </row>
    <row r="22" spans="2:6" x14ac:dyDescent="0.35">
      <c r="B22" s="29" t="s">
        <v>283</v>
      </c>
      <c r="C22" s="30">
        <v>18</v>
      </c>
      <c r="D22" s="31" t="s">
        <v>435</v>
      </c>
      <c r="E22" s="30"/>
      <c r="F22" s="32"/>
    </row>
    <row r="23" spans="2:6" x14ac:dyDescent="0.35">
      <c r="B23" s="29" t="s">
        <v>283</v>
      </c>
      <c r="C23" s="30">
        <v>20</v>
      </c>
      <c r="D23" s="31" t="s">
        <v>436</v>
      </c>
      <c r="E23" s="30"/>
      <c r="F23" s="32"/>
    </row>
    <row r="24" spans="2:6" x14ac:dyDescent="0.35">
      <c r="B24" s="29" t="s">
        <v>283</v>
      </c>
      <c r="C24" s="30">
        <v>21</v>
      </c>
      <c r="D24" s="31" t="s">
        <v>437</v>
      </c>
      <c r="E24" s="30"/>
      <c r="F24" s="32"/>
    </row>
    <row r="25" spans="2:6" x14ac:dyDescent="0.35">
      <c r="B25" s="29" t="s">
        <v>283</v>
      </c>
      <c r="C25" s="30">
        <v>22</v>
      </c>
      <c r="D25" s="31" t="s">
        <v>438</v>
      </c>
      <c r="E25" s="30"/>
      <c r="F25" s="32"/>
    </row>
    <row r="26" spans="2:6" ht="29" x14ac:dyDescent="0.35">
      <c r="B26" s="29" t="s">
        <v>283</v>
      </c>
      <c r="C26" s="30">
        <v>23</v>
      </c>
      <c r="D26" s="31" t="s">
        <v>439</v>
      </c>
      <c r="E26" s="30"/>
      <c r="F26" s="32"/>
    </row>
    <row r="27" spans="2:6" x14ac:dyDescent="0.35">
      <c r="B27" s="29" t="s">
        <v>283</v>
      </c>
      <c r="C27" s="30">
        <v>24</v>
      </c>
      <c r="D27" s="31" t="s">
        <v>440</v>
      </c>
      <c r="E27" s="30"/>
      <c r="F27" s="32"/>
    </row>
    <row r="28" spans="2:6" x14ac:dyDescent="0.35">
      <c r="B28" s="29" t="s">
        <v>283</v>
      </c>
      <c r="C28" s="30">
        <v>25</v>
      </c>
      <c r="D28" s="31" t="s">
        <v>441</v>
      </c>
      <c r="E28" s="30"/>
      <c r="F28" s="32"/>
    </row>
    <row r="29" spans="2:6" x14ac:dyDescent="0.35">
      <c r="B29" s="29" t="s">
        <v>283</v>
      </c>
      <c r="C29" s="30">
        <v>26</v>
      </c>
      <c r="D29" s="31" t="s">
        <v>442</v>
      </c>
      <c r="E29" s="30"/>
      <c r="F29" s="32"/>
    </row>
    <row r="30" spans="2:6" x14ac:dyDescent="0.35">
      <c r="B30" s="29" t="s">
        <v>283</v>
      </c>
      <c r="C30" s="30">
        <v>27</v>
      </c>
      <c r="D30" s="31" t="s">
        <v>443</v>
      </c>
      <c r="E30" s="30"/>
      <c r="F30" s="32"/>
    </row>
    <row r="31" spans="2:6" x14ac:dyDescent="0.35">
      <c r="B31" s="29" t="s">
        <v>283</v>
      </c>
      <c r="C31" s="30">
        <v>28</v>
      </c>
      <c r="D31" s="31" t="s">
        <v>444</v>
      </c>
      <c r="E31" s="30"/>
      <c r="F31" s="32"/>
    </row>
    <row r="32" spans="2:6" x14ac:dyDescent="0.35">
      <c r="B32" s="29" t="s">
        <v>283</v>
      </c>
      <c r="C32" s="30">
        <v>30</v>
      </c>
      <c r="D32" s="31" t="s">
        <v>445</v>
      </c>
      <c r="E32" s="30"/>
      <c r="F32" s="32"/>
    </row>
    <row r="33" spans="2:6" x14ac:dyDescent="0.35">
      <c r="B33" s="29" t="s">
        <v>283</v>
      </c>
      <c r="C33" s="30">
        <v>32</v>
      </c>
      <c r="D33" s="31" t="s">
        <v>446</v>
      </c>
      <c r="E33" s="30"/>
      <c r="F33" s="32"/>
    </row>
    <row r="34" spans="2:6" x14ac:dyDescent="0.35">
      <c r="B34" s="29" t="s">
        <v>283</v>
      </c>
      <c r="C34" s="30">
        <v>33</v>
      </c>
      <c r="D34" s="31" t="s">
        <v>447</v>
      </c>
      <c r="E34" s="30"/>
      <c r="F34" s="32"/>
    </row>
    <row r="35" spans="2:6" x14ac:dyDescent="0.35">
      <c r="B35" s="29" t="s">
        <v>283</v>
      </c>
      <c r="C35" s="30">
        <v>34</v>
      </c>
      <c r="D35" s="31" t="s">
        <v>448</v>
      </c>
      <c r="E35" s="30"/>
      <c r="F35" s="32"/>
    </row>
    <row r="36" spans="2:6" x14ac:dyDescent="0.35">
      <c r="B36" s="29" t="s">
        <v>283</v>
      </c>
      <c r="C36" s="30">
        <v>35</v>
      </c>
      <c r="D36" s="31" t="s">
        <v>449</v>
      </c>
      <c r="E36" s="30"/>
      <c r="F36" s="32"/>
    </row>
    <row r="37" spans="2:6" x14ac:dyDescent="0.35">
      <c r="B37" s="29" t="s">
        <v>283</v>
      </c>
      <c r="C37" s="30">
        <v>36</v>
      </c>
      <c r="D37" s="31" t="s">
        <v>450</v>
      </c>
      <c r="E37" s="30"/>
      <c r="F37" s="32"/>
    </row>
    <row r="38" spans="2:6" x14ac:dyDescent="0.35">
      <c r="B38" s="29" t="s">
        <v>283</v>
      </c>
      <c r="C38" s="30">
        <v>50</v>
      </c>
      <c r="D38" s="31" t="s">
        <v>451</v>
      </c>
      <c r="E38" s="30"/>
      <c r="F38" s="32"/>
    </row>
    <row r="39" spans="2:6" x14ac:dyDescent="0.35">
      <c r="B39" s="29" t="s">
        <v>279</v>
      </c>
      <c r="C39" s="33">
        <v>101</v>
      </c>
      <c r="D39" s="34" t="s">
        <v>452</v>
      </c>
      <c r="E39" s="33" t="s">
        <v>453</v>
      </c>
      <c r="F39" s="32"/>
    </row>
    <row r="40" spans="2:6" x14ac:dyDescent="0.35">
      <c r="B40" s="29" t="s">
        <v>279</v>
      </c>
      <c r="C40" s="33">
        <v>102</v>
      </c>
      <c r="D40" s="34" t="s">
        <v>454</v>
      </c>
      <c r="E40" s="33" t="s">
        <v>453</v>
      </c>
      <c r="F40" s="32"/>
    </row>
    <row r="41" spans="2:6" x14ac:dyDescent="0.35">
      <c r="B41" s="29" t="s">
        <v>279</v>
      </c>
      <c r="C41" s="33">
        <v>103</v>
      </c>
      <c r="D41" s="34" t="s">
        <v>455</v>
      </c>
      <c r="E41" s="33" t="s">
        <v>453</v>
      </c>
      <c r="F41" s="32"/>
    </row>
    <row r="42" spans="2:6" x14ac:dyDescent="0.35">
      <c r="B42" s="29" t="s">
        <v>279</v>
      </c>
      <c r="C42" s="33">
        <v>104</v>
      </c>
      <c r="D42" s="34" t="s">
        <v>456</v>
      </c>
      <c r="E42" s="33" t="s">
        <v>453</v>
      </c>
      <c r="F42" s="32"/>
    </row>
    <row r="43" spans="2:6" x14ac:dyDescent="0.35">
      <c r="B43" s="29" t="s">
        <v>279</v>
      </c>
      <c r="C43" s="33">
        <v>105</v>
      </c>
      <c r="D43" s="34" t="s">
        <v>457</v>
      </c>
      <c r="E43" s="33" t="s">
        <v>453</v>
      </c>
      <c r="F43" s="32"/>
    </row>
    <row r="44" spans="2:6" x14ac:dyDescent="0.35">
      <c r="B44" s="29" t="s">
        <v>279</v>
      </c>
      <c r="C44" s="33">
        <v>106</v>
      </c>
      <c r="D44" s="34" t="s">
        <v>458</v>
      </c>
      <c r="E44" s="33" t="s">
        <v>453</v>
      </c>
      <c r="F44" s="32"/>
    </row>
    <row r="45" spans="2:6" x14ac:dyDescent="0.35">
      <c r="B45" s="29" t="s">
        <v>279</v>
      </c>
      <c r="C45" s="33">
        <v>107</v>
      </c>
      <c r="D45" s="34" t="s">
        <v>459</v>
      </c>
      <c r="E45" s="33" t="s">
        <v>453</v>
      </c>
      <c r="F45" s="32"/>
    </row>
    <row r="46" spans="2:6" x14ac:dyDescent="0.35">
      <c r="B46" s="29" t="s">
        <v>279</v>
      </c>
      <c r="C46" s="33">
        <v>108</v>
      </c>
      <c r="D46" s="34" t="s">
        <v>460</v>
      </c>
      <c r="E46" s="33" t="s">
        <v>453</v>
      </c>
      <c r="F46" s="32"/>
    </row>
    <row r="47" spans="2:6" x14ac:dyDescent="0.35">
      <c r="B47" s="29" t="s">
        <v>279</v>
      </c>
      <c r="C47" s="33">
        <v>109</v>
      </c>
      <c r="D47" s="34" t="s">
        <v>461</v>
      </c>
      <c r="E47" s="33" t="s">
        <v>453</v>
      </c>
      <c r="F47" s="32"/>
    </row>
    <row r="48" spans="2:6" x14ac:dyDescent="0.35">
      <c r="B48" s="29" t="s">
        <v>279</v>
      </c>
      <c r="C48" s="33">
        <v>110</v>
      </c>
      <c r="D48" s="34" t="s">
        <v>462</v>
      </c>
      <c r="E48" s="33" t="s">
        <v>453</v>
      </c>
      <c r="F48" s="32"/>
    </row>
    <row r="49" spans="2:6" x14ac:dyDescent="0.35">
      <c r="B49" s="29" t="s">
        <v>279</v>
      </c>
      <c r="C49" s="33">
        <v>111</v>
      </c>
      <c r="D49" s="34" t="s">
        <v>463</v>
      </c>
      <c r="E49" s="33" t="s">
        <v>453</v>
      </c>
      <c r="F49" s="32"/>
    </row>
    <row r="50" spans="2:6" x14ac:dyDescent="0.35">
      <c r="B50" s="29" t="s">
        <v>279</v>
      </c>
      <c r="C50" s="33">
        <v>112</v>
      </c>
      <c r="D50" s="34" t="s">
        <v>464</v>
      </c>
      <c r="E50" s="33" t="s">
        <v>453</v>
      </c>
      <c r="F50" s="32"/>
    </row>
    <row r="51" spans="2:6" x14ac:dyDescent="0.35">
      <c r="B51" s="29" t="s">
        <v>279</v>
      </c>
      <c r="C51" s="33">
        <v>113</v>
      </c>
      <c r="D51" s="34" t="s">
        <v>465</v>
      </c>
      <c r="E51" s="33" t="s">
        <v>453</v>
      </c>
      <c r="F51" s="32"/>
    </row>
    <row r="52" spans="2:6" x14ac:dyDescent="0.35">
      <c r="B52" s="29" t="s">
        <v>279</v>
      </c>
      <c r="C52" s="33">
        <v>114</v>
      </c>
      <c r="D52" s="34" t="s">
        <v>466</v>
      </c>
      <c r="E52" s="33" t="s">
        <v>453</v>
      </c>
      <c r="F52" s="32"/>
    </row>
    <row r="53" spans="2:6" x14ac:dyDescent="0.35">
      <c r="B53" s="29" t="s">
        <v>279</v>
      </c>
      <c r="C53" s="33">
        <v>115</v>
      </c>
      <c r="D53" s="34" t="s">
        <v>467</v>
      </c>
      <c r="E53" s="33" t="s">
        <v>453</v>
      </c>
      <c r="F53" s="32"/>
    </row>
    <row r="54" spans="2:6" x14ac:dyDescent="0.35">
      <c r="B54" s="29" t="s">
        <v>279</v>
      </c>
      <c r="C54" s="33">
        <v>116</v>
      </c>
      <c r="D54" s="34" t="s">
        <v>468</v>
      </c>
      <c r="E54" s="33" t="s">
        <v>453</v>
      </c>
      <c r="F54" s="32"/>
    </row>
    <row r="55" spans="2:6" x14ac:dyDescent="0.35">
      <c r="B55" s="29" t="s">
        <v>279</v>
      </c>
      <c r="C55" s="33">
        <v>117</v>
      </c>
      <c r="D55" s="34" t="s">
        <v>469</v>
      </c>
      <c r="E55" s="33" t="s">
        <v>453</v>
      </c>
      <c r="F55" s="32"/>
    </row>
    <row r="56" spans="2:6" x14ac:dyDescent="0.35">
      <c r="B56" s="29" t="s">
        <v>279</v>
      </c>
      <c r="C56" s="33">
        <v>201</v>
      </c>
      <c r="D56" s="34" t="s">
        <v>470</v>
      </c>
      <c r="E56" s="33" t="s">
        <v>453</v>
      </c>
      <c r="F56" s="32"/>
    </row>
    <row r="57" spans="2:6" x14ac:dyDescent="0.35">
      <c r="B57" s="29" t="s">
        <v>279</v>
      </c>
      <c r="C57" s="33">
        <v>202</v>
      </c>
      <c r="D57" s="34" t="s">
        <v>471</v>
      </c>
      <c r="E57" s="33" t="s">
        <v>453</v>
      </c>
      <c r="F57" s="32"/>
    </row>
    <row r="58" spans="2:6" x14ac:dyDescent="0.35">
      <c r="B58" s="29" t="s">
        <v>279</v>
      </c>
      <c r="C58" s="33">
        <v>203</v>
      </c>
      <c r="D58" s="34" t="s">
        <v>472</v>
      </c>
      <c r="E58" s="33" t="s">
        <v>453</v>
      </c>
      <c r="F58" s="32"/>
    </row>
    <row r="59" spans="2:6" x14ac:dyDescent="0.35">
      <c r="B59" s="29" t="s">
        <v>279</v>
      </c>
      <c r="C59" s="33">
        <v>204</v>
      </c>
      <c r="D59" s="34" t="s">
        <v>473</v>
      </c>
      <c r="E59" s="33" t="s">
        <v>453</v>
      </c>
      <c r="F59" s="32"/>
    </row>
    <row r="60" spans="2:6" x14ac:dyDescent="0.35">
      <c r="B60" s="29" t="s">
        <v>279</v>
      </c>
      <c r="C60" s="33">
        <v>205</v>
      </c>
      <c r="D60" s="34" t="s">
        <v>474</v>
      </c>
      <c r="E60" s="33" t="s">
        <v>453</v>
      </c>
      <c r="F60" s="32"/>
    </row>
    <row r="61" spans="2:6" x14ac:dyDescent="0.35">
      <c r="B61" s="29" t="s">
        <v>279</v>
      </c>
      <c r="C61" s="33">
        <v>206</v>
      </c>
      <c r="D61" s="34" t="s">
        <v>475</v>
      </c>
      <c r="E61" s="33" t="s">
        <v>453</v>
      </c>
      <c r="F61" s="32"/>
    </row>
    <row r="62" spans="2:6" x14ac:dyDescent="0.35">
      <c r="B62" s="29" t="s">
        <v>279</v>
      </c>
      <c r="C62" s="33">
        <v>207</v>
      </c>
      <c r="D62" s="34" t="s">
        <v>476</v>
      </c>
      <c r="E62" s="33" t="s">
        <v>453</v>
      </c>
      <c r="F62" s="32"/>
    </row>
    <row r="63" spans="2:6" ht="18.5" x14ac:dyDescent="0.35">
      <c r="B63" s="29" t="s">
        <v>279</v>
      </c>
      <c r="C63" s="33">
        <v>208</v>
      </c>
      <c r="D63" s="35" t="s">
        <v>477</v>
      </c>
      <c r="E63" s="33" t="s">
        <v>453</v>
      </c>
      <c r="F63" s="32"/>
    </row>
    <row r="64" spans="2:6" x14ac:dyDescent="0.35">
      <c r="B64" s="29" t="s">
        <v>279</v>
      </c>
      <c r="C64" s="33">
        <v>209</v>
      </c>
      <c r="D64" s="34" t="s">
        <v>478</v>
      </c>
      <c r="E64" s="33" t="s">
        <v>453</v>
      </c>
      <c r="F64" s="32"/>
    </row>
    <row r="65" spans="2:6" x14ac:dyDescent="0.35">
      <c r="B65" s="29" t="s">
        <v>279</v>
      </c>
      <c r="C65" s="33">
        <v>210</v>
      </c>
      <c r="D65" s="34" t="s">
        <v>479</v>
      </c>
      <c r="E65" s="33" t="s">
        <v>453</v>
      </c>
      <c r="F65" s="32"/>
    </row>
    <row r="66" spans="2:6" x14ac:dyDescent="0.35">
      <c r="B66" s="36" t="s">
        <v>279</v>
      </c>
      <c r="C66" s="37">
        <v>301</v>
      </c>
      <c r="D66" s="38" t="s">
        <v>432</v>
      </c>
      <c r="E66" s="37" t="s">
        <v>480</v>
      </c>
      <c r="F66" s="39"/>
    </row>
    <row r="67" spans="2:6" x14ac:dyDescent="0.35">
      <c r="B67" s="29" t="s">
        <v>279</v>
      </c>
      <c r="C67" s="33">
        <v>302</v>
      </c>
      <c r="D67" s="34" t="s">
        <v>481</v>
      </c>
      <c r="E67" s="33" t="s">
        <v>453</v>
      </c>
      <c r="F67" s="32"/>
    </row>
    <row r="68" spans="2:6" x14ac:dyDescent="0.35">
      <c r="B68" s="29" t="s">
        <v>279</v>
      </c>
      <c r="C68" s="33">
        <v>303</v>
      </c>
      <c r="D68" s="34" t="s">
        <v>482</v>
      </c>
      <c r="E68" s="33" t="s">
        <v>453</v>
      </c>
      <c r="F68" s="32"/>
    </row>
    <row r="69" spans="2:6" x14ac:dyDescent="0.35">
      <c r="B69" s="29" t="s">
        <v>279</v>
      </c>
      <c r="C69" s="33">
        <v>304</v>
      </c>
      <c r="D69" s="34" t="s">
        <v>483</v>
      </c>
      <c r="E69" s="33" t="s">
        <v>453</v>
      </c>
      <c r="F69" s="32"/>
    </row>
    <row r="70" spans="2:6" x14ac:dyDescent="0.35">
      <c r="B70" s="29" t="s">
        <v>279</v>
      </c>
      <c r="C70" s="33">
        <v>305</v>
      </c>
      <c r="D70" s="34" t="s">
        <v>484</v>
      </c>
      <c r="E70" s="33" t="s">
        <v>453</v>
      </c>
      <c r="F70" s="32"/>
    </row>
    <row r="71" spans="2:6" x14ac:dyDescent="0.35">
      <c r="B71" s="29" t="s">
        <v>279</v>
      </c>
      <c r="C71" s="33">
        <v>306</v>
      </c>
      <c r="D71" s="34" t="s">
        <v>485</v>
      </c>
      <c r="E71" s="33" t="s">
        <v>453</v>
      </c>
      <c r="F71" s="32"/>
    </row>
    <row r="72" spans="2:6" x14ac:dyDescent="0.35">
      <c r="B72" s="29" t="s">
        <v>279</v>
      </c>
      <c r="C72" s="33">
        <v>307</v>
      </c>
      <c r="D72" s="34" t="s">
        <v>486</v>
      </c>
      <c r="E72" s="33" t="s">
        <v>453</v>
      </c>
      <c r="F72" s="32"/>
    </row>
    <row r="73" spans="2:6" x14ac:dyDescent="0.35">
      <c r="B73" s="29" t="s">
        <v>279</v>
      </c>
      <c r="C73" s="33">
        <v>308</v>
      </c>
      <c r="D73" s="34" t="s">
        <v>487</v>
      </c>
      <c r="E73" s="33" t="s">
        <v>453</v>
      </c>
      <c r="F73" s="32"/>
    </row>
    <row r="74" spans="2:6" x14ac:dyDescent="0.35">
      <c r="B74" s="29" t="s">
        <v>279</v>
      </c>
      <c r="C74" s="33">
        <v>309</v>
      </c>
      <c r="D74" s="34" t="s">
        <v>488</v>
      </c>
      <c r="E74" s="33" t="s">
        <v>453</v>
      </c>
      <c r="F74" s="32"/>
    </row>
    <row r="75" spans="2:6" ht="29" x14ac:dyDescent="0.35">
      <c r="B75" s="29" t="s">
        <v>279</v>
      </c>
      <c r="C75" s="33">
        <v>310</v>
      </c>
      <c r="D75" s="34" t="s">
        <v>489</v>
      </c>
      <c r="E75" s="33" t="s">
        <v>453</v>
      </c>
      <c r="F75" s="32"/>
    </row>
    <row r="76" spans="2:6" x14ac:dyDescent="0.35">
      <c r="B76" s="29" t="s">
        <v>279</v>
      </c>
      <c r="C76" s="33">
        <v>312</v>
      </c>
      <c r="D76" s="34" t="s">
        <v>490</v>
      </c>
      <c r="E76" s="33" t="s">
        <v>453</v>
      </c>
      <c r="F76" s="32"/>
    </row>
    <row r="77" spans="2:6" x14ac:dyDescent="0.35">
      <c r="B77" s="29" t="s">
        <v>279</v>
      </c>
      <c r="C77" s="33">
        <v>313</v>
      </c>
      <c r="D77" s="34" t="s">
        <v>491</v>
      </c>
      <c r="E77" s="33" t="s">
        <v>453</v>
      </c>
      <c r="F77" s="32"/>
    </row>
    <row r="78" spans="2:6" x14ac:dyDescent="0.35">
      <c r="B78" s="29" t="s">
        <v>279</v>
      </c>
      <c r="C78" s="33">
        <v>401</v>
      </c>
      <c r="D78" s="34" t="s">
        <v>492</v>
      </c>
      <c r="E78" s="33" t="s">
        <v>453</v>
      </c>
      <c r="F78" s="32"/>
    </row>
    <row r="79" spans="2:6" x14ac:dyDescent="0.35">
      <c r="B79" s="29" t="s">
        <v>279</v>
      </c>
      <c r="C79" s="33">
        <v>402</v>
      </c>
      <c r="D79" s="34" t="s">
        <v>493</v>
      </c>
      <c r="E79" s="33" t="s">
        <v>453</v>
      </c>
      <c r="F79" s="32"/>
    </row>
    <row r="80" spans="2:6" x14ac:dyDescent="0.35">
      <c r="B80" s="29" t="s">
        <v>279</v>
      </c>
      <c r="C80" s="33">
        <v>501</v>
      </c>
      <c r="D80" s="34" t="s">
        <v>494</v>
      </c>
      <c r="E80" s="33" t="s">
        <v>453</v>
      </c>
      <c r="F80" s="32"/>
    </row>
    <row r="81" spans="2:6" x14ac:dyDescent="0.35">
      <c r="B81" s="29" t="s">
        <v>279</v>
      </c>
      <c r="C81" s="33">
        <v>502</v>
      </c>
      <c r="D81" s="34" t="s">
        <v>495</v>
      </c>
      <c r="E81" s="33" t="s">
        <v>453</v>
      </c>
      <c r="F81" s="32"/>
    </row>
    <row r="82" spans="2:6" x14ac:dyDescent="0.35">
      <c r="B82" s="29" t="s">
        <v>279</v>
      </c>
      <c r="C82" s="33">
        <v>503</v>
      </c>
      <c r="D82" s="34" t="s">
        <v>496</v>
      </c>
      <c r="E82" s="33" t="s">
        <v>453</v>
      </c>
      <c r="F82" s="32"/>
    </row>
    <row r="83" spans="2:6" x14ac:dyDescent="0.35">
      <c r="B83" s="29" t="s">
        <v>279</v>
      </c>
      <c r="C83" s="33">
        <v>504</v>
      </c>
      <c r="D83" s="34" t="s">
        <v>497</v>
      </c>
      <c r="E83" s="33" t="s">
        <v>453</v>
      </c>
      <c r="F83" s="32"/>
    </row>
    <row r="84" spans="2:6" x14ac:dyDescent="0.35">
      <c r="B84" s="29" t="s">
        <v>279</v>
      </c>
      <c r="C84" s="33">
        <v>505</v>
      </c>
      <c r="D84" s="34" t="s">
        <v>498</v>
      </c>
      <c r="E84" s="33" t="s">
        <v>453</v>
      </c>
      <c r="F84" s="32"/>
    </row>
    <row r="85" spans="2:6" x14ac:dyDescent="0.35">
      <c r="B85" s="29" t="s">
        <v>279</v>
      </c>
      <c r="C85" s="33">
        <v>506</v>
      </c>
      <c r="D85" s="34" t="s">
        <v>499</v>
      </c>
      <c r="E85" s="33" t="s">
        <v>453</v>
      </c>
      <c r="F85" s="32"/>
    </row>
    <row r="86" spans="2:6" ht="29" x14ac:dyDescent="0.35">
      <c r="B86" s="29" t="s">
        <v>279</v>
      </c>
      <c r="C86" s="33">
        <v>507</v>
      </c>
      <c r="D86" s="34" t="s">
        <v>500</v>
      </c>
      <c r="E86" s="33" t="s">
        <v>453</v>
      </c>
      <c r="F86" s="32"/>
    </row>
    <row r="87" spans="2:6" x14ac:dyDescent="0.35">
      <c r="B87" s="29" t="s">
        <v>279</v>
      </c>
      <c r="C87" s="33">
        <v>508</v>
      </c>
      <c r="D87" s="34" t="s">
        <v>501</v>
      </c>
      <c r="E87" s="33" t="s">
        <v>453</v>
      </c>
      <c r="F87" s="32"/>
    </row>
    <row r="88" spans="2:6" x14ac:dyDescent="0.35">
      <c r="B88" s="29" t="s">
        <v>279</v>
      </c>
      <c r="C88" s="33">
        <v>601</v>
      </c>
      <c r="D88" s="34" t="s">
        <v>502</v>
      </c>
      <c r="E88" s="33" t="s">
        <v>453</v>
      </c>
      <c r="F88" s="32"/>
    </row>
    <row r="89" spans="2:6" x14ac:dyDescent="0.35">
      <c r="B89" s="29" t="s">
        <v>279</v>
      </c>
      <c r="C89" s="33">
        <v>602</v>
      </c>
      <c r="D89" s="34" t="s">
        <v>503</v>
      </c>
      <c r="E89" s="33" t="s">
        <v>453</v>
      </c>
      <c r="F89" s="32"/>
    </row>
    <row r="90" spans="2:6" x14ac:dyDescent="0.35">
      <c r="B90" s="29" t="s">
        <v>279</v>
      </c>
      <c r="C90" s="33">
        <v>603</v>
      </c>
      <c r="D90" s="34" t="s">
        <v>504</v>
      </c>
      <c r="E90" s="33" t="s">
        <v>453</v>
      </c>
      <c r="F90" s="32"/>
    </row>
    <row r="91" spans="2:6" x14ac:dyDescent="0.35">
      <c r="B91" s="29" t="s">
        <v>279</v>
      </c>
      <c r="C91" s="33">
        <v>701</v>
      </c>
      <c r="D91" s="34" t="s">
        <v>443</v>
      </c>
      <c r="E91" s="33" t="s">
        <v>453</v>
      </c>
      <c r="F91" s="32"/>
    </row>
    <row r="92" spans="2:6" x14ac:dyDescent="0.35">
      <c r="B92" s="29" t="s">
        <v>279</v>
      </c>
      <c r="C92" s="33">
        <v>702</v>
      </c>
      <c r="D92" s="34" t="s">
        <v>505</v>
      </c>
      <c r="E92" s="33" t="s">
        <v>453</v>
      </c>
      <c r="F92" s="32"/>
    </row>
    <row r="93" spans="2:6" x14ac:dyDescent="0.35">
      <c r="B93" s="29" t="s">
        <v>279</v>
      </c>
      <c r="C93" s="33">
        <v>901</v>
      </c>
      <c r="D93" s="34" t="s">
        <v>506</v>
      </c>
      <c r="E93" s="33" t="s">
        <v>453</v>
      </c>
      <c r="F93" s="32"/>
    </row>
    <row r="94" spans="2:6" x14ac:dyDescent="0.35">
      <c r="B94" s="29" t="s">
        <v>279</v>
      </c>
      <c r="C94" s="33">
        <v>902</v>
      </c>
      <c r="D94" s="34" t="s">
        <v>507</v>
      </c>
      <c r="E94" s="33" t="s">
        <v>453</v>
      </c>
      <c r="F94" s="32"/>
    </row>
    <row r="95" spans="2:6" ht="29" x14ac:dyDescent="0.35">
      <c r="B95" s="29" t="s">
        <v>279</v>
      </c>
      <c r="C95" s="33">
        <v>903</v>
      </c>
      <c r="D95" s="34" t="s">
        <v>508</v>
      </c>
      <c r="E95" s="33" t="s">
        <v>453</v>
      </c>
      <c r="F95" s="32"/>
    </row>
    <row r="96" spans="2:6" x14ac:dyDescent="0.35">
      <c r="B96" s="29" t="s">
        <v>279</v>
      </c>
      <c r="C96" s="33">
        <v>1401</v>
      </c>
      <c r="D96" s="34" t="s">
        <v>432</v>
      </c>
      <c r="E96" s="33" t="s">
        <v>453</v>
      </c>
      <c r="F96" s="32"/>
    </row>
    <row r="97" spans="2:6" x14ac:dyDescent="0.35">
      <c r="B97" s="29" t="s">
        <v>279</v>
      </c>
      <c r="C97" s="33">
        <v>1501</v>
      </c>
      <c r="D97" s="34" t="s">
        <v>509</v>
      </c>
      <c r="E97" s="33" t="s">
        <v>453</v>
      </c>
      <c r="F97" s="32"/>
    </row>
    <row r="98" spans="2:6" x14ac:dyDescent="0.35">
      <c r="B98" s="29" t="s">
        <v>279</v>
      </c>
      <c r="C98" s="33">
        <v>1502</v>
      </c>
      <c r="D98" s="34" t="s">
        <v>510</v>
      </c>
      <c r="E98" s="33" t="s">
        <v>453</v>
      </c>
      <c r="F98" s="32"/>
    </row>
    <row r="99" spans="2:6" x14ac:dyDescent="0.35">
      <c r="B99" s="29" t="s">
        <v>279</v>
      </c>
      <c r="C99" s="33">
        <v>1503</v>
      </c>
      <c r="D99" s="34" t="s">
        <v>511</v>
      </c>
      <c r="E99" s="33" t="s">
        <v>453</v>
      </c>
      <c r="F99" s="32"/>
    </row>
    <row r="100" spans="2:6" x14ac:dyDescent="0.35">
      <c r="B100" s="29" t="s">
        <v>279</v>
      </c>
      <c r="C100" s="33">
        <v>1504</v>
      </c>
      <c r="D100" s="34" t="s">
        <v>512</v>
      </c>
      <c r="E100" s="33" t="s">
        <v>453</v>
      </c>
      <c r="F100" s="32"/>
    </row>
    <row r="101" spans="2:6" ht="29" x14ac:dyDescent="0.35">
      <c r="B101" s="29" t="s">
        <v>279</v>
      </c>
      <c r="C101" s="33">
        <v>1505</v>
      </c>
      <c r="D101" s="34" t="s">
        <v>513</v>
      </c>
      <c r="E101" s="33" t="s">
        <v>453</v>
      </c>
      <c r="F101" s="32"/>
    </row>
    <row r="102" spans="2:6" x14ac:dyDescent="0.35">
      <c r="B102" s="29" t="s">
        <v>279</v>
      </c>
      <c r="C102" s="33">
        <v>1506</v>
      </c>
      <c r="D102" s="34" t="s">
        <v>514</v>
      </c>
      <c r="E102" s="33" t="s">
        <v>453</v>
      </c>
      <c r="F102" s="32"/>
    </row>
    <row r="103" spans="2:6" x14ac:dyDescent="0.35">
      <c r="B103" s="29" t="s">
        <v>279</v>
      </c>
      <c r="C103" s="33">
        <v>1507</v>
      </c>
      <c r="D103" s="34" t="s">
        <v>515</v>
      </c>
      <c r="E103" s="33" t="s">
        <v>453</v>
      </c>
      <c r="F103" s="32"/>
    </row>
    <row r="104" spans="2:6" x14ac:dyDescent="0.35">
      <c r="B104" s="29" t="s">
        <v>279</v>
      </c>
      <c r="C104" s="33">
        <v>1508</v>
      </c>
      <c r="D104" s="34" t="s">
        <v>516</v>
      </c>
      <c r="E104" s="33" t="s">
        <v>453</v>
      </c>
      <c r="F104" s="32"/>
    </row>
    <row r="105" spans="2:6" x14ac:dyDescent="0.35">
      <c r="B105" s="29" t="s">
        <v>279</v>
      </c>
      <c r="C105" s="33">
        <v>1801</v>
      </c>
      <c r="D105" s="34" t="s">
        <v>517</v>
      </c>
      <c r="E105" s="33" t="s">
        <v>453</v>
      </c>
      <c r="F105" s="32"/>
    </row>
    <row r="106" spans="2:6" x14ac:dyDescent="0.35">
      <c r="B106" s="29" t="s">
        <v>279</v>
      </c>
      <c r="C106" s="33">
        <v>2001</v>
      </c>
      <c r="D106" s="34" t="s">
        <v>518</v>
      </c>
      <c r="E106" s="33" t="s">
        <v>453</v>
      </c>
      <c r="F106" s="32"/>
    </row>
    <row r="107" spans="2:6" x14ac:dyDescent="0.35">
      <c r="B107" s="29" t="s">
        <v>279</v>
      </c>
      <c r="C107" s="33">
        <v>2002</v>
      </c>
      <c r="D107" s="34" t="s">
        <v>519</v>
      </c>
      <c r="E107" s="33" t="s">
        <v>453</v>
      </c>
      <c r="F107" s="32"/>
    </row>
    <row r="108" spans="2:6" x14ac:dyDescent="0.35">
      <c r="B108" s="29" t="s">
        <v>279</v>
      </c>
      <c r="C108" s="33">
        <v>2003</v>
      </c>
      <c r="D108" s="34" t="s">
        <v>520</v>
      </c>
      <c r="E108" s="33" t="s">
        <v>453</v>
      </c>
      <c r="F108" s="32"/>
    </row>
    <row r="109" spans="2:6" x14ac:dyDescent="0.35">
      <c r="B109" s="29" t="s">
        <v>279</v>
      </c>
      <c r="C109" s="33">
        <v>2101</v>
      </c>
      <c r="D109" s="34" t="s">
        <v>437</v>
      </c>
      <c r="E109" s="33" t="s">
        <v>453</v>
      </c>
      <c r="F109" s="32"/>
    </row>
    <row r="110" spans="2:6" x14ac:dyDescent="0.35">
      <c r="B110" s="29" t="s">
        <v>279</v>
      </c>
      <c r="C110" s="33">
        <v>2401</v>
      </c>
      <c r="D110" s="34" t="s">
        <v>521</v>
      </c>
      <c r="E110" s="33" t="s">
        <v>453</v>
      </c>
      <c r="F110" s="32"/>
    </row>
    <row r="111" spans="2:6" x14ac:dyDescent="0.35">
      <c r="B111" s="29" t="s">
        <v>279</v>
      </c>
      <c r="C111" s="33">
        <v>2402</v>
      </c>
      <c r="D111" s="34" t="s">
        <v>522</v>
      </c>
      <c r="E111" s="33" t="s">
        <v>453</v>
      </c>
      <c r="F111" s="32"/>
    </row>
    <row r="112" spans="2:6" x14ac:dyDescent="0.35">
      <c r="B112" s="29" t="s">
        <v>279</v>
      </c>
      <c r="C112" s="33">
        <v>2403</v>
      </c>
      <c r="D112" s="34" t="s">
        <v>523</v>
      </c>
      <c r="E112" s="33" t="s">
        <v>453</v>
      </c>
      <c r="F112" s="32"/>
    </row>
    <row r="113" spans="2:6" x14ac:dyDescent="0.35">
      <c r="B113" s="29" t="s">
        <v>279</v>
      </c>
      <c r="C113" s="33">
        <v>2404</v>
      </c>
      <c r="D113" s="34" t="s">
        <v>524</v>
      </c>
      <c r="E113" s="33" t="s">
        <v>453</v>
      </c>
      <c r="F113" s="32"/>
    </row>
    <row r="114" spans="2:6" x14ac:dyDescent="0.35">
      <c r="B114" s="29" t="s">
        <v>279</v>
      </c>
      <c r="C114" s="33">
        <v>2405</v>
      </c>
      <c r="D114" s="34" t="s">
        <v>525</v>
      </c>
      <c r="E114" s="33" t="s">
        <v>453</v>
      </c>
      <c r="F114" s="32"/>
    </row>
    <row r="115" spans="2:6" x14ac:dyDescent="0.35">
      <c r="B115" s="29" t="s">
        <v>279</v>
      </c>
      <c r="C115" s="33">
        <v>2406</v>
      </c>
      <c r="D115" s="34" t="s">
        <v>526</v>
      </c>
      <c r="E115" s="33" t="s">
        <v>453</v>
      </c>
      <c r="F115" s="32"/>
    </row>
    <row r="116" spans="2:6" x14ac:dyDescent="0.35">
      <c r="B116" s="29" t="s">
        <v>279</v>
      </c>
      <c r="C116" s="33">
        <v>2407</v>
      </c>
      <c r="D116" s="34" t="s">
        <v>527</v>
      </c>
      <c r="E116" s="33" t="s">
        <v>453</v>
      </c>
      <c r="F116" s="32"/>
    </row>
    <row r="117" spans="2:6" x14ac:dyDescent="0.35">
      <c r="B117" s="29" t="s">
        <v>279</v>
      </c>
      <c r="C117" s="33">
        <v>2408</v>
      </c>
      <c r="D117" s="34" t="s">
        <v>528</v>
      </c>
      <c r="E117" s="33" t="s">
        <v>453</v>
      </c>
      <c r="F117" s="32"/>
    </row>
    <row r="118" spans="2:6" x14ac:dyDescent="0.35">
      <c r="B118" s="29" t="s">
        <v>279</v>
      </c>
      <c r="C118" s="33">
        <v>2409</v>
      </c>
      <c r="D118" s="34" t="s">
        <v>529</v>
      </c>
      <c r="E118" s="33" t="s">
        <v>453</v>
      </c>
      <c r="F118" s="32"/>
    </row>
    <row r="119" spans="2:6" x14ac:dyDescent="0.35">
      <c r="B119" s="29" t="s">
        <v>279</v>
      </c>
      <c r="C119" s="33">
        <v>2410</v>
      </c>
      <c r="D119" s="34" t="s">
        <v>530</v>
      </c>
      <c r="E119" s="33" t="s">
        <v>453</v>
      </c>
      <c r="F119" s="32"/>
    </row>
    <row r="120" spans="2:6" x14ac:dyDescent="0.35">
      <c r="B120" s="29" t="s">
        <v>279</v>
      </c>
      <c r="C120" s="33">
        <v>2411</v>
      </c>
      <c r="D120" s="34" t="s">
        <v>531</v>
      </c>
      <c r="E120" s="33" t="s">
        <v>453</v>
      </c>
      <c r="F120" s="32"/>
    </row>
    <row r="121" spans="2:6" x14ac:dyDescent="0.35">
      <c r="B121" s="29" t="s">
        <v>279</v>
      </c>
      <c r="C121" s="33">
        <v>2412</v>
      </c>
      <c r="D121" s="34" t="s">
        <v>532</v>
      </c>
      <c r="E121" s="33" t="s">
        <v>453</v>
      </c>
      <c r="F121" s="32"/>
    </row>
    <row r="122" spans="2:6" x14ac:dyDescent="0.35">
      <c r="B122" s="29" t="s">
        <v>279</v>
      </c>
      <c r="C122" s="33">
        <v>2413</v>
      </c>
      <c r="D122" s="34" t="s">
        <v>533</v>
      </c>
      <c r="E122" s="33" t="s">
        <v>453</v>
      </c>
      <c r="F122" s="32"/>
    </row>
    <row r="123" spans="2:6" x14ac:dyDescent="0.35">
      <c r="B123" s="29" t="s">
        <v>279</v>
      </c>
      <c r="C123" s="33">
        <v>2414</v>
      </c>
      <c r="D123" s="34" t="s">
        <v>534</v>
      </c>
      <c r="E123" s="33" t="s">
        <v>453</v>
      </c>
      <c r="F123" s="32"/>
    </row>
    <row r="124" spans="2:6" x14ac:dyDescent="0.35">
      <c r="B124" s="29" t="s">
        <v>279</v>
      </c>
      <c r="C124" s="33">
        <v>2415</v>
      </c>
      <c r="D124" s="34" t="s">
        <v>535</v>
      </c>
      <c r="E124" s="33" t="s">
        <v>453</v>
      </c>
      <c r="F124" s="32"/>
    </row>
    <row r="125" spans="2:6" x14ac:dyDescent="0.35">
      <c r="B125" s="29" t="s">
        <v>279</v>
      </c>
      <c r="C125" s="33">
        <v>2416</v>
      </c>
      <c r="D125" s="34" t="s">
        <v>536</v>
      </c>
      <c r="E125" s="33" t="s">
        <v>453</v>
      </c>
      <c r="F125" s="32"/>
    </row>
    <row r="126" spans="2:6" x14ac:dyDescent="0.35">
      <c r="B126" s="29" t="s">
        <v>279</v>
      </c>
      <c r="C126" s="33">
        <v>2417</v>
      </c>
      <c r="D126" s="34" t="s">
        <v>537</v>
      </c>
      <c r="E126" s="33" t="s">
        <v>453</v>
      </c>
      <c r="F126" s="32"/>
    </row>
    <row r="127" spans="2:6" x14ac:dyDescent="0.35">
      <c r="B127" s="29" t="s">
        <v>279</v>
      </c>
      <c r="C127" s="33">
        <v>2501</v>
      </c>
      <c r="D127" s="34" t="s">
        <v>441</v>
      </c>
      <c r="E127" s="33" t="s">
        <v>453</v>
      </c>
      <c r="F127" s="32"/>
    </row>
    <row r="128" spans="2:6" x14ac:dyDescent="0.35">
      <c r="B128" s="29" t="s">
        <v>279</v>
      </c>
      <c r="C128" s="33">
        <v>2601</v>
      </c>
      <c r="D128" s="34" t="s">
        <v>442</v>
      </c>
      <c r="E128" s="33" t="s">
        <v>453</v>
      </c>
      <c r="F128" s="32"/>
    </row>
    <row r="129" spans="2:6" x14ac:dyDescent="0.35">
      <c r="B129" s="29" t="s">
        <v>279</v>
      </c>
      <c r="C129" s="33">
        <v>2701</v>
      </c>
      <c r="D129" s="34" t="s">
        <v>538</v>
      </c>
      <c r="E129" s="33" t="s">
        <v>453</v>
      </c>
      <c r="F129" s="32"/>
    </row>
    <row r="130" spans="2:6" x14ac:dyDescent="0.35">
      <c r="B130" s="29" t="s">
        <v>279</v>
      </c>
      <c r="C130" s="33">
        <v>2702</v>
      </c>
      <c r="D130" s="34" t="s">
        <v>539</v>
      </c>
      <c r="E130" s="33" t="s">
        <v>453</v>
      </c>
      <c r="F130" s="32"/>
    </row>
    <row r="131" spans="2:6" x14ac:dyDescent="0.35">
      <c r="B131" s="29" t="s">
        <v>279</v>
      </c>
      <c r="C131" s="33">
        <v>2703</v>
      </c>
      <c r="D131" s="34" t="s">
        <v>540</v>
      </c>
      <c r="E131" s="33" t="s">
        <v>453</v>
      </c>
      <c r="F131" s="32"/>
    </row>
    <row r="132" spans="2:6" x14ac:dyDescent="0.35">
      <c r="B132" s="29" t="s">
        <v>279</v>
      </c>
      <c r="C132" s="33">
        <v>2704</v>
      </c>
      <c r="D132" s="34" t="s">
        <v>541</v>
      </c>
      <c r="E132" s="33" t="s">
        <v>453</v>
      </c>
      <c r="F132" s="32"/>
    </row>
    <row r="133" spans="2:6" x14ac:dyDescent="0.35">
      <c r="B133" s="29" t="s">
        <v>279</v>
      </c>
      <c r="C133" s="33">
        <v>2801</v>
      </c>
      <c r="D133" s="34" t="s">
        <v>542</v>
      </c>
      <c r="E133" s="33" t="s">
        <v>453</v>
      </c>
      <c r="F133" s="32"/>
    </row>
    <row r="134" spans="2:6" x14ac:dyDescent="0.35">
      <c r="B134" s="29" t="s">
        <v>279</v>
      </c>
      <c r="C134" s="33">
        <v>2802</v>
      </c>
      <c r="D134" s="34" t="s">
        <v>543</v>
      </c>
      <c r="E134" s="33" t="s">
        <v>453</v>
      </c>
      <c r="F134" s="32"/>
    </row>
    <row r="135" spans="2:6" x14ac:dyDescent="0.35">
      <c r="B135" s="29" t="s">
        <v>279</v>
      </c>
      <c r="C135" s="33">
        <v>2803</v>
      </c>
      <c r="D135" s="34" t="s">
        <v>544</v>
      </c>
      <c r="E135" s="33" t="s">
        <v>453</v>
      </c>
      <c r="F135" s="32"/>
    </row>
    <row r="136" spans="2:6" x14ac:dyDescent="0.35">
      <c r="B136" s="29" t="s">
        <v>279</v>
      </c>
      <c r="C136" s="33">
        <v>2804</v>
      </c>
      <c r="D136" s="34" t="s">
        <v>545</v>
      </c>
      <c r="E136" s="33" t="s">
        <v>453</v>
      </c>
      <c r="F136" s="32"/>
    </row>
    <row r="137" spans="2:6" x14ac:dyDescent="0.35">
      <c r="B137" s="29" t="s">
        <v>279</v>
      </c>
      <c r="C137" s="33">
        <v>2805</v>
      </c>
      <c r="D137" s="34" t="s">
        <v>546</v>
      </c>
      <c r="E137" s="33" t="s">
        <v>453</v>
      </c>
      <c r="F137" s="32"/>
    </row>
    <row r="138" spans="2:6" x14ac:dyDescent="0.35">
      <c r="B138" s="29" t="s">
        <v>279</v>
      </c>
      <c r="C138" s="33">
        <v>2806</v>
      </c>
      <c r="D138" s="34" t="s">
        <v>547</v>
      </c>
      <c r="E138" s="33" t="s">
        <v>453</v>
      </c>
      <c r="F138" s="32"/>
    </row>
    <row r="139" spans="2:6" x14ac:dyDescent="0.35">
      <c r="B139" s="29" t="s">
        <v>279</v>
      </c>
      <c r="C139" s="33">
        <v>3001</v>
      </c>
      <c r="D139" s="34" t="s">
        <v>548</v>
      </c>
      <c r="E139" s="33" t="s">
        <v>453</v>
      </c>
      <c r="F139" s="32"/>
    </row>
    <row r="140" spans="2:6" x14ac:dyDescent="0.35">
      <c r="B140" s="29" t="s">
        <v>279</v>
      </c>
      <c r="C140" s="33">
        <v>3201</v>
      </c>
      <c r="D140" s="34" t="s">
        <v>549</v>
      </c>
      <c r="E140" s="33" t="s">
        <v>453</v>
      </c>
      <c r="F140" s="32"/>
    </row>
    <row r="141" spans="2:6" x14ac:dyDescent="0.35">
      <c r="B141" s="29" t="s">
        <v>279</v>
      </c>
      <c r="C141" s="33">
        <v>3301</v>
      </c>
      <c r="D141" s="34" t="s">
        <v>550</v>
      </c>
      <c r="E141" s="33" t="s">
        <v>453</v>
      </c>
      <c r="F141" s="32"/>
    </row>
    <row r="142" spans="2:6" x14ac:dyDescent="0.35">
      <c r="B142" s="29" t="s">
        <v>279</v>
      </c>
      <c r="C142" s="33">
        <v>3401</v>
      </c>
      <c r="D142" s="34" t="s">
        <v>551</v>
      </c>
      <c r="E142" s="33" t="s">
        <v>453</v>
      </c>
      <c r="F142" s="32"/>
    </row>
    <row r="143" spans="2:6" x14ac:dyDescent="0.35">
      <c r="B143" s="29" t="s">
        <v>279</v>
      </c>
      <c r="C143" s="33">
        <v>3402</v>
      </c>
      <c r="D143" s="34" t="s">
        <v>552</v>
      </c>
      <c r="E143" s="33" t="s">
        <v>453</v>
      </c>
      <c r="F143" s="32"/>
    </row>
    <row r="144" spans="2:6" x14ac:dyDescent="0.35">
      <c r="B144" s="29" t="s">
        <v>279</v>
      </c>
      <c r="C144" s="33">
        <v>3403</v>
      </c>
      <c r="D144" s="34" t="s">
        <v>553</v>
      </c>
      <c r="E144" s="33" t="s">
        <v>453</v>
      </c>
      <c r="F144" s="32"/>
    </row>
    <row r="145" spans="2:6" x14ac:dyDescent="0.35">
      <c r="B145" s="29" t="s">
        <v>279</v>
      </c>
      <c r="C145" s="33">
        <v>3502</v>
      </c>
      <c r="D145" s="34" t="s">
        <v>554</v>
      </c>
      <c r="E145" s="33" t="s">
        <v>453</v>
      </c>
      <c r="F145" s="32"/>
    </row>
    <row r="146" spans="2:6" ht="29" x14ac:dyDescent="0.35">
      <c r="B146" s="29" t="s">
        <v>279</v>
      </c>
      <c r="C146" s="33">
        <v>3503</v>
      </c>
      <c r="D146" s="34" t="s">
        <v>555</v>
      </c>
      <c r="E146" s="33" t="s">
        <v>453</v>
      </c>
      <c r="F146" s="32"/>
    </row>
    <row r="147" spans="2:6" x14ac:dyDescent="0.35">
      <c r="B147" s="29" t="s">
        <v>279</v>
      </c>
      <c r="C147" s="33">
        <v>3505</v>
      </c>
      <c r="D147" s="34" t="s">
        <v>556</v>
      </c>
      <c r="E147" s="33" t="s">
        <v>453</v>
      </c>
      <c r="F147" s="32"/>
    </row>
    <row r="148" spans="2:6" ht="29" x14ac:dyDescent="0.35">
      <c r="B148" s="29" t="s">
        <v>279</v>
      </c>
      <c r="C148" s="33">
        <v>3506</v>
      </c>
      <c r="D148" s="34" t="s">
        <v>557</v>
      </c>
      <c r="E148" s="33" t="s">
        <v>453</v>
      </c>
      <c r="F148" s="32"/>
    </row>
    <row r="149" spans="2:6" x14ac:dyDescent="0.35">
      <c r="B149" s="29" t="s">
        <v>279</v>
      </c>
      <c r="C149" s="33">
        <v>3601</v>
      </c>
      <c r="D149" s="34" t="s">
        <v>558</v>
      </c>
      <c r="E149" s="33" t="s">
        <v>453</v>
      </c>
      <c r="F149" s="32"/>
    </row>
    <row r="150" spans="2:6" x14ac:dyDescent="0.35">
      <c r="B150" s="29" t="s">
        <v>279</v>
      </c>
      <c r="C150" s="33">
        <v>3602</v>
      </c>
      <c r="D150" s="34" t="s">
        <v>559</v>
      </c>
      <c r="E150" s="33" t="s">
        <v>453</v>
      </c>
      <c r="F150" s="32"/>
    </row>
    <row r="151" spans="2:6" x14ac:dyDescent="0.35">
      <c r="B151" s="29" t="s">
        <v>279</v>
      </c>
      <c r="C151" s="33">
        <v>3701</v>
      </c>
      <c r="D151" s="34" t="s">
        <v>560</v>
      </c>
      <c r="E151" s="33" t="s">
        <v>453</v>
      </c>
      <c r="F151" s="32"/>
    </row>
    <row r="152" spans="2:6" x14ac:dyDescent="0.35">
      <c r="B152" s="29" t="s">
        <v>279</v>
      </c>
      <c r="C152" s="33">
        <v>3801</v>
      </c>
      <c r="D152" s="34" t="s">
        <v>561</v>
      </c>
      <c r="E152" s="33" t="s">
        <v>453</v>
      </c>
      <c r="F152" s="32"/>
    </row>
    <row r="153" spans="2:6" x14ac:dyDescent="0.35">
      <c r="B153" s="29" t="s">
        <v>279</v>
      </c>
      <c r="C153" s="33">
        <v>3901</v>
      </c>
      <c r="D153" s="34" t="s">
        <v>562</v>
      </c>
      <c r="E153" s="33" t="s">
        <v>453</v>
      </c>
      <c r="F153" s="32"/>
    </row>
    <row r="154" spans="2:6" ht="29" x14ac:dyDescent="0.35">
      <c r="B154" s="29" t="s">
        <v>279</v>
      </c>
      <c r="C154" s="33">
        <v>4001</v>
      </c>
      <c r="D154" s="34" t="s">
        <v>563</v>
      </c>
      <c r="E154" s="33" t="s">
        <v>453</v>
      </c>
      <c r="F154" s="32"/>
    </row>
    <row r="155" spans="2:6" x14ac:dyDescent="0.35">
      <c r="B155" s="29" t="s">
        <v>279</v>
      </c>
      <c r="C155" s="33">
        <v>4101</v>
      </c>
      <c r="D155" s="34" t="s">
        <v>564</v>
      </c>
      <c r="E155" s="33" t="s">
        <v>453</v>
      </c>
      <c r="F155" s="32"/>
    </row>
    <row r="156" spans="2:6" ht="29" x14ac:dyDescent="0.35">
      <c r="B156" s="29" t="s">
        <v>279</v>
      </c>
      <c r="C156" s="33">
        <v>4201</v>
      </c>
      <c r="D156" s="34" t="s">
        <v>565</v>
      </c>
      <c r="E156" s="33" t="s">
        <v>453</v>
      </c>
      <c r="F156" s="32"/>
    </row>
    <row r="157" spans="2:6" x14ac:dyDescent="0.35">
      <c r="B157" s="29" t="s">
        <v>279</v>
      </c>
      <c r="C157" s="33">
        <v>4301</v>
      </c>
      <c r="D157" s="34" t="s">
        <v>566</v>
      </c>
      <c r="E157" s="33" t="s">
        <v>453</v>
      </c>
      <c r="F157" s="32"/>
    </row>
    <row r="158" spans="2:6" x14ac:dyDescent="0.35">
      <c r="B158" s="29" t="s">
        <v>279</v>
      </c>
      <c r="C158" s="33">
        <v>4401</v>
      </c>
      <c r="D158" s="34" t="s">
        <v>567</v>
      </c>
      <c r="E158" s="33" t="s">
        <v>453</v>
      </c>
      <c r="F158" s="32"/>
    </row>
    <row r="159" spans="2:6" ht="29" x14ac:dyDescent="0.35">
      <c r="B159" s="29" t="s">
        <v>279</v>
      </c>
      <c r="C159" s="33">
        <v>4501</v>
      </c>
      <c r="D159" s="34" t="s">
        <v>568</v>
      </c>
      <c r="E159" s="33" t="s">
        <v>453</v>
      </c>
      <c r="F159" s="32"/>
    </row>
    <row r="160" spans="2:6" ht="29" x14ac:dyDescent="0.35">
      <c r="B160" s="29" t="s">
        <v>279</v>
      </c>
      <c r="C160" s="33">
        <v>4601</v>
      </c>
      <c r="D160" s="34" t="s">
        <v>569</v>
      </c>
      <c r="E160" s="33" t="s">
        <v>453</v>
      </c>
      <c r="F160" s="32"/>
    </row>
    <row r="161" spans="2:6" x14ac:dyDescent="0.35">
      <c r="B161" s="29" t="s">
        <v>279</v>
      </c>
      <c r="C161" s="33">
        <v>4701</v>
      </c>
      <c r="D161" s="34" t="s">
        <v>570</v>
      </c>
      <c r="E161" s="33" t="s">
        <v>453</v>
      </c>
      <c r="F161" s="32"/>
    </row>
    <row r="162" spans="2:6" ht="29" x14ac:dyDescent="0.35">
      <c r="B162" s="29" t="s">
        <v>279</v>
      </c>
      <c r="C162" s="33">
        <v>4801</v>
      </c>
      <c r="D162" s="34" t="s">
        <v>571</v>
      </c>
      <c r="E162" s="33" t="s">
        <v>453</v>
      </c>
      <c r="F162" s="32"/>
    </row>
    <row r="163" spans="2:6" ht="29" x14ac:dyDescent="0.35">
      <c r="B163" s="29" t="s">
        <v>279</v>
      </c>
      <c r="C163" s="33">
        <v>4901</v>
      </c>
      <c r="D163" s="34" t="s">
        <v>572</v>
      </c>
      <c r="E163" s="33" t="s">
        <v>453</v>
      </c>
      <c r="F163" s="32"/>
    </row>
    <row r="164" spans="2:6" ht="29" x14ac:dyDescent="0.35">
      <c r="B164" s="29" t="s">
        <v>279</v>
      </c>
      <c r="C164" s="33">
        <v>5001</v>
      </c>
      <c r="D164" s="34" t="s">
        <v>573</v>
      </c>
      <c r="E164" s="33" t="s">
        <v>453</v>
      </c>
      <c r="F164" s="32"/>
    </row>
    <row r="165" spans="2:6" ht="29" x14ac:dyDescent="0.35">
      <c r="B165" s="29" t="s">
        <v>279</v>
      </c>
      <c r="C165" s="33">
        <v>5002</v>
      </c>
      <c r="D165" s="34" t="s">
        <v>574</v>
      </c>
      <c r="E165" s="33" t="s">
        <v>453</v>
      </c>
      <c r="F165" s="32"/>
    </row>
    <row r="166" spans="2:6" ht="29" x14ac:dyDescent="0.35">
      <c r="B166" s="29" t="s">
        <v>279</v>
      </c>
      <c r="C166" s="33">
        <v>5003</v>
      </c>
      <c r="D166" s="34" t="s">
        <v>575</v>
      </c>
      <c r="E166" s="33" t="s">
        <v>453</v>
      </c>
      <c r="F166" s="32"/>
    </row>
    <row r="167" spans="2:6" x14ac:dyDescent="0.35">
      <c r="B167" s="29" t="s">
        <v>324</v>
      </c>
      <c r="C167" s="33">
        <v>1</v>
      </c>
      <c r="D167" s="34" t="s">
        <v>576</v>
      </c>
      <c r="E167" s="33" t="s">
        <v>453</v>
      </c>
      <c r="F167" s="32"/>
    </row>
    <row r="168" spans="2:6" x14ac:dyDescent="0.35">
      <c r="B168" s="36" t="s">
        <v>324</v>
      </c>
      <c r="C168" s="40">
        <v>2</v>
      </c>
      <c r="D168" s="41" t="s">
        <v>577</v>
      </c>
      <c r="E168" s="40" t="s">
        <v>480</v>
      </c>
      <c r="F168" s="39"/>
    </row>
    <row r="169" spans="2:6" x14ac:dyDescent="0.35">
      <c r="B169" s="36" t="s">
        <v>324</v>
      </c>
      <c r="C169" s="40">
        <v>3</v>
      </c>
      <c r="D169" s="41" t="s">
        <v>578</v>
      </c>
      <c r="E169" s="40" t="s">
        <v>480</v>
      </c>
      <c r="F169" s="39"/>
    </row>
    <row r="170" spans="2:6" x14ac:dyDescent="0.35">
      <c r="B170" s="36" t="s">
        <v>324</v>
      </c>
      <c r="C170" s="40">
        <v>4</v>
      </c>
      <c r="D170" s="41" t="s">
        <v>579</v>
      </c>
      <c r="E170" s="40" t="s">
        <v>480</v>
      </c>
      <c r="F170" s="39"/>
    </row>
    <row r="171" spans="2:6" x14ac:dyDescent="0.35">
      <c r="B171" s="29" t="s">
        <v>324</v>
      </c>
      <c r="C171" s="33">
        <v>5</v>
      </c>
      <c r="D171" s="34" t="s">
        <v>580</v>
      </c>
      <c r="E171" s="33" t="s">
        <v>453</v>
      </c>
      <c r="F171" s="32"/>
    </row>
    <row r="172" spans="2:6" x14ac:dyDescent="0.35">
      <c r="B172" s="29" t="s">
        <v>404</v>
      </c>
      <c r="C172" s="30">
        <v>1</v>
      </c>
      <c r="D172" s="31" t="s">
        <v>581</v>
      </c>
      <c r="E172" s="30">
        <v>1</v>
      </c>
      <c r="F172" s="32"/>
    </row>
    <row r="173" spans="2:6" x14ac:dyDescent="0.35">
      <c r="B173" s="29" t="s">
        <v>404</v>
      </c>
      <c r="C173" s="30">
        <v>2</v>
      </c>
      <c r="D173" s="31" t="s">
        <v>582</v>
      </c>
      <c r="E173" s="30">
        <v>1</v>
      </c>
      <c r="F173" s="32"/>
    </row>
    <row r="174" spans="2:6" x14ac:dyDescent="0.35">
      <c r="B174" s="29" t="s">
        <v>404</v>
      </c>
      <c r="C174" s="30">
        <v>3</v>
      </c>
      <c r="D174" s="31" t="s">
        <v>583</v>
      </c>
      <c r="E174" s="30">
        <v>1</v>
      </c>
      <c r="F174" s="32"/>
    </row>
    <row r="175" spans="2:6" x14ac:dyDescent="0.35">
      <c r="B175" s="29" t="s">
        <v>404</v>
      </c>
      <c r="C175" s="30">
        <v>4</v>
      </c>
      <c r="D175" s="31" t="s">
        <v>584</v>
      </c>
      <c r="E175" s="30">
        <v>1</v>
      </c>
      <c r="F175" s="32"/>
    </row>
    <row r="176" spans="2:6" x14ac:dyDescent="0.35">
      <c r="B176" s="29" t="s">
        <v>404</v>
      </c>
      <c r="C176" s="30">
        <v>5</v>
      </c>
      <c r="D176" s="31" t="s">
        <v>585</v>
      </c>
      <c r="E176" s="30">
        <v>1</v>
      </c>
      <c r="F176" s="32"/>
    </row>
    <row r="177" spans="2:6" x14ac:dyDescent="0.35">
      <c r="B177" s="29" t="s">
        <v>404</v>
      </c>
      <c r="C177" s="30">
        <v>6</v>
      </c>
      <c r="D177" s="31" t="s">
        <v>586</v>
      </c>
      <c r="E177" s="30">
        <v>1</v>
      </c>
      <c r="F177" s="32"/>
    </row>
    <row r="178" spans="2:6" x14ac:dyDescent="0.35">
      <c r="B178" s="29" t="s">
        <v>404</v>
      </c>
      <c r="C178" s="30">
        <v>13</v>
      </c>
      <c r="D178" s="31" t="s">
        <v>587</v>
      </c>
      <c r="E178" s="30">
        <v>1</v>
      </c>
      <c r="F178" s="32"/>
    </row>
    <row r="179" spans="2:6" x14ac:dyDescent="0.35">
      <c r="B179" s="29" t="s">
        <v>404</v>
      </c>
      <c r="C179" s="30">
        <v>14</v>
      </c>
      <c r="D179" s="31" t="s">
        <v>588</v>
      </c>
      <c r="E179" s="30">
        <v>1</v>
      </c>
      <c r="F179" s="32"/>
    </row>
    <row r="180" spans="2:6" x14ac:dyDescent="0.35">
      <c r="B180" s="29" t="s">
        <v>404</v>
      </c>
      <c r="C180" s="30">
        <v>15</v>
      </c>
      <c r="D180" s="31" t="s">
        <v>589</v>
      </c>
      <c r="E180" s="30">
        <v>1</v>
      </c>
      <c r="F180" s="32"/>
    </row>
    <row r="181" spans="2:6" x14ac:dyDescent="0.35">
      <c r="B181" s="25" t="s">
        <v>294</v>
      </c>
      <c r="C181" s="27">
        <v>102</v>
      </c>
      <c r="D181" s="26" t="s">
        <v>590</v>
      </c>
      <c r="E181" s="27">
        <v>1</v>
      </c>
      <c r="F181" s="42"/>
    </row>
    <row r="182" spans="2:6" ht="29" x14ac:dyDescent="0.35">
      <c r="B182" s="25" t="s">
        <v>294</v>
      </c>
      <c r="C182" s="27">
        <v>104</v>
      </c>
      <c r="D182" s="26" t="s">
        <v>591</v>
      </c>
      <c r="E182" s="27">
        <v>1</v>
      </c>
      <c r="F182" s="42"/>
    </row>
    <row r="183" spans="2:6" x14ac:dyDescent="0.35">
      <c r="B183" s="25" t="s">
        <v>294</v>
      </c>
      <c r="C183" s="27">
        <v>106</v>
      </c>
      <c r="D183" s="26" t="s">
        <v>592</v>
      </c>
      <c r="E183" s="27">
        <v>1</v>
      </c>
      <c r="F183" s="42"/>
    </row>
    <row r="184" spans="2:6" ht="29" x14ac:dyDescent="0.35">
      <c r="B184" s="25" t="s">
        <v>294</v>
      </c>
      <c r="C184" s="27">
        <v>108</v>
      </c>
      <c r="D184" s="26" t="s">
        <v>593</v>
      </c>
      <c r="E184" s="27">
        <v>1</v>
      </c>
      <c r="F184" s="42"/>
    </row>
    <row r="185" spans="2:6" ht="29" x14ac:dyDescent="0.35">
      <c r="B185" s="25" t="s">
        <v>294</v>
      </c>
      <c r="C185" s="27">
        <v>110</v>
      </c>
      <c r="D185" s="26" t="s">
        <v>594</v>
      </c>
      <c r="E185" s="27">
        <v>1</v>
      </c>
      <c r="F185" s="42"/>
    </row>
    <row r="186" spans="2:6" x14ac:dyDescent="0.35">
      <c r="B186" s="25" t="s">
        <v>294</v>
      </c>
      <c r="C186" s="27">
        <v>112</v>
      </c>
      <c r="D186" s="26" t="s">
        <v>595</v>
      </c>
      <c r="E186" s="27">
        <v>1</v>
      </c>
      <c r="F186" s="42"/>
    </row>
    <row r="187" spans="2:6" ht="29" x14ac:dyDescent="0.35">
      <c r="B187" s="25" t="s">
        <v>294</v>
      </c>
      <c r="C187" s="27">
        <v>114</v>
      </c>
      <c r="D187" s="26" t="s">
        <v>596</v>
      </c>
      <c r="E187" s="27">
        <v>1</v>
      </c>
      <c r="F187" s="42"/>
    </row>
    <row r="188" spans="2:6" ht="29" x14ac:dyDescent="0.35">
      <c r="B188" s="25" t="s">
        <v>294</v>
      </c>
      <c r="C188" s="27">
        <v>116</v>
      </c>
      <c r="D188" s="26" t="s">
        <v>597</v>
      </c>
      <c r="E188" s="27">
        <v>1</v>
      </c>
      <c r="F188" s="42"/>
    </row>
    <row r="189" spans="2:6" x14ac:dyDescent="0.35">
      <c r="B189" s="25" t="s">
        <v>294</v>
      </c>
      <c r="C189" s="27">
        <v>118</v>
      </c>
      <c r="D189" s="26" t="s">
        <v>598</v>
      </c>
      <c r="E189" s="27">
        <v>1</v>
      </c>
      <c r="F189" s="42"/>
    </row>
    <row r="190" spans="2:6" x14ac:dyDescent="0.35">
      <c r="B190" s="25" t="s">
        <v>294</v>
      </c>
      <c r="C190" s="27">
        <v>120</v>
      </c>
      <c r="D190" s="26" t="s">
        <v>599</v>
      </c>
      <c r="E190" s="27">
        <v>1</v>
      </c>
      <c r="F190" s="42"/>
    </row>
    <row r="191" spans="2:6" x14ac:dyDescent="0.35">
      <c r="B191" s="25" t="s">
        <v>294</v>
      </c>
      <c r="C191" s="27">
        <v>122</v>
      </c>
      <c r="D191" s="26" t="s">
        <v>600</v>
      </c>
      <c r="E191" s="27">
        <v>1</v>
      </c>
      <c r="F191" s="42"/>
    </row>
    <row r="192" spans="2:6" x14ac:dyDescent="0.35">
      <c r="B192" s="25" t="s">
        <v>294</v>
      </c>
      <c r="C192" s="27">
        <v>124</v>
      </c>
      <c r="D192" s="26" t="s">
        <v>601</v>
      </c>
      <c r="E192" s="27">
        <v>1</v>
      </c>
      <c r="F192" s="42"/>
    </row>
    <row r="193" spans="2:6" ht="29" x14ac:dyDescent="0.35">
      <c r="B193" s="25" t="s">
        <v>294</v>
      </c>
      <c r="C193" s="27">
        <v>128</v>
      </c>
      <c r="D193" s="26" t="s">
        <v>602</v>
      </c>
      <c r="E193" s="27">
        <v>1</v>
      </c>
      <c r="F193" s="42"/>
    </row>
    <row r="194" spans="2:6" x14ac:dyDescent="0.35">
      <c r="B194" s="25" t="s">
        <v>294</v>
      </c>
      <c r="C194" s="27">
        <v>140</v>
      </c>
      <c r="D194" s="26" t="s">
        <v>603</v>
      </c>
      <c r="E194" s="27">
        <v>1</v>
      </c>
      <c r="F194" s="42"/>
    </row>
    <row r="195" spans="2:6" x14ac:dyDescent="0.35">
      <c r="B195" s="25" t="s">
        <v>294</v>
      </c>
      <c r="C195" s="27">
        <v>142</v>
      </c>
      <c r="D195" s="26" t="s">
        <v>604</v>
      </c>
      <c r="E195" s="27">
        <v>1</v>
      </c>
      <c r="F195" s="42"/>
    </row>
    <row r="196" spans="2:6" x14ac:dyDescent="0.35">
      <c r="B196" s="25" t="s">
        <v>294</v>
      </c>
      <c r="C196" s="27">
        <v>144</v>
      </c>
      <c r="D196" s="26" t="s">
        <v>605</v>
      </c>
      <c r="E196" s="27">
        <v>1</v>
      </c>
      <c r="F196" s="42"/>
    </row>
    <row r="197" spans="2:6" x14ac:dyDescent="0.35">
      <c r="B197" s="25" t="s">
        <v>294</v>
      </c>
      <c r="C197" s="27">
        <v>146</v>
      </c>
      <c r="D197" s="26" t="s">
        <v>606</v>
      </c>
      <c r="E197" s="27">
        <v>1</v>
      </c>
      <c r="F197" s="42"/>
    </row>
    <row r="198" spans="2:6" x14ac:dyDescent="0.35">
      <c r="B198" s="25" t="s">
        <v>294</v>
      </c>
      <c r="C198" s="27">
        <v>150</v>
      </c>
      <c r="D198" s="26" t="s">
        <v>607</v>
      </c>
      <c r="E198" s="27">
        <v>1</v>
      </c>
      <c r="F198" s="42"/>
    </row>
    <row r="199" spans="2:6" x14ac:dyDescent="0.35">
      <c r="B199" s="25" t="s">
        <v>294</v>
      </c>
      <c r="C199" s="27">
        <v>202</v>
      </c>
      <c r="D199" s="26" t="s">
        <v>608</v>
      </c>
      <c r="E199" s="27">
        <v>1</v>
      </c>
      <c r="F199" s="42"/>
    </row>
    <row r="200" spans="2:6" x14ac:dyDescent="0.35">
      <c r="B200" s="25" t="s">
        <v>294</v>
      </c>
      <c r="C200" s="27">
        <v>206</v>
      </c>
      <c r="D200" s="26" t="s">
        <v>609</v>
      </c>
      <c r="E200" s="27">
        <v>1</v>
      </c>
      <c r="F200" s="42"/>
    </row>
    <row r="201" spans="2:6" x14ac:dyDescent="0.35">
      <c r="B201" s="25" t="s">
        <v>294</v>
      </c>
      <c r="C201" s="27">
        <v>204</v>
      </c>
      <c r="D201" s="26" t="s">
        <v>610</v>
      </c>
      <c r="E201" s="27">
        <v>1</v>
      </c>
      <c r="F201" s="42"/>
    </row>
    <row r="202" spans="2:6" x14ac:dyDescent="0.35">
      <c r="B202" s="25" t="s">
        <v>294</v>
      </c>
      <c r="C202" s="27">
        <v>208</v>
      </c>
      <c r="D202" s="26" t="s">
        <v>611</v>
      </c>
      <c r="E202" s="27">
        <v>1</v>
      </c>
      <c r="F202" s="42"/>
    </row>
    <row r="203" spans="2:6" x14ac:dyDescent="0.35">
      <c r="B203" s="25" t="s">
        <v>294</v>
      </c>
      <c r="C203" s="27">
        <v>210</v>
      </c>
      <c r="D203" s="26" t="s">
        <v>612</v>
      </c>
      <c r="E203" s="27">
        <v>1</v>
      </c>
      <c r="F203" s="42"/>
    </row>
    <row r="204" spans="2:6" x14ac:dyDescent="0.35">
      <c r="B204" s="25" t="s">
        <v>294</v>
      </c>
      <c r="C204" s="27">
        <v>302</v>
      </c>
      <c r="D204" s="26" t="s">
        <v>613</v>
      </c>
      <c r="E204" s="27">
        <v>1</v>
      </c>
      <c r="F204" s="42"/>
    </row>
    <row r="205" spans="2:6" x14ac:dyDescent="0.35">
      <c r="B205" s="25" t="s">
        <v>294</v>
      </c>
      <c r="C205" s="27">
        <v>304</v>
      </c>
      <c r="D205" s="26" t="s">
        <v>614</v>
      </c>
      <c r="E205" s="27">
        <v>1</v>
      </c>
      <c r="F205" s="42"/>
    </row>
    <row r="206" spans="2:6" ht="29" x14ac:dyDescent="0.35">
      <c r="B206" s="25" t="s">
        <v>294</v>
      </c>
      <c r="C206" s="27">
        <v>306</v>
      </c>
      <c r="D206" s="26" t="s">
        <v>615</v>
      </c>
      <c r="E206" s="27">
        <v>1</v>
      </c>
      <c r="F206" s="42"/>
    </row>
    <row r="207" spans="2:6" x14ac:dyDescent="0.35">
      <c r="B207" s="25" t="s">
        <v>294</v>
      </c>
      <c r="C207" s="27">
        <v>402</v>
      </c>
      <c r="D207" s="26" t="s">
        <v>616</v>
      </c>
      <c r="E207" s="27">
        <v>1</v>
      </c>
      <c r="F207" s="42"/>
    </row>
    <row r="208" spans="2:6" x14ac:dyDescent="0.35">
      <c r="B208" s="25" t="s">
        <v>294</v>
      </c>
      <c r="C208" s="27">
        <v>404</v>
      </c>
      <c r="D208" s="26" t="s">
        <v>617</v>
      </c>
      <c r="E208" s="27">
        <v>1</v>
      </c>
      <c r="F208" s="42"/>
    </row>
    <row r="209" spans="2:6" x14ac:dyDescent="0.35">
      <c r="B209" s="25" t="s">
        <v>294</v>
      </c>
      <c r="C209" s="27">
        <v>406</v>
      </c>
      <c r="D209" s="26" t="s">
        <v>618</v>
      </c>
      <c r="E209" s="27">
        <v>1</v>
      </c>
      <c r="F209" s="42"/>
    </row>
    <row r="210" spans="2:6" ht="29" x14ac:dyDescent="0.35">
      <c r="B210" s="25" t="s">
        <v>294</v>
      </c>
      <c r="C210" s="27">
        <v>408</v>
      </c>
      <c r="D210" s="26" t="s">
        <v>619</v>
      </c>
      <c r="E210" s="27">
        <v>1</v>
      </c>
      <c r="F210" s="42"/>
    </row>
    <row r="211" spans="2:6" x14ac:dyDescent="0.35">
      <c r="B211" s="25" t="s">
        <v>294</v>
      </c>
      <c r="C211" s="27">
        <v>410</v>
      </c>
      <c r="D211" s="26" t="s">
        <v>620</v>
      </c>
      <c r="E211" s="27">
        <v>1</v>
      </c>
      <c r="F211" s="42"/>
    </row>
    <row r="212" spans="2:6" ht="29" x14ac:dyDescent="0.35">
      <c r="B212" s="25" t="s">
        <v>294</v>
      </c>
      <c r="C212" s="27">
        <v>412</v>
      </c>
      <c r="D212" s="26" t="s">
        <v>621</v>
      </c>
      <c r="E212" s="27">
        <v>1</v>
      </c>
      <c r="F212" s="42"/>
    </row>
    <row r="213" spans="2:6" ht="29" x14ac:dyDescent="0.35">
      <c r="B213" s="25" t="s">
        <v>294</v>
      </c>
      <c r="C213" s="27">
        <v>902</v>
      </c>
      <c r="D213" s="26" t="s">
        <v>622</v>
      </c>
      <c r="E213" s="27">
        <v>1</v>
      </c>
      <c r="F213" s="42"/>
    </row>
    <row r="214" spans="2:6" ht="29" x14ac:dyDescent="0.35">
      <c r="B214" s="25" t="s">
        <v>294</v>
      </c>
      <c r="C214" s="27">
        <v>904</v>
      </c>
      <c r="D214" s="26" t="s">
        <v>623</v>
      </c>
      <c r="E214" s="27">
        <v>1</v>
      </c>
      <c r="F214" s="42"/>
    </row>
    <row r="215" spans="2:6" ht="29" x14ac:dyDescent="0.35">
      <c r="B215" s="25" t="s">
        <v>333</v>
      </c>
      <c r="C215" s="43">
        <v>1</v>
      </c>
      <c r="D215" s="44" t="s">
        <v>624</v>
      </c>
      <c r="E215" s="43">
        <v>1</v>
      </c>
      <c r="F215" s="42"/>
    </row>
    <row r="216" spans="2:6" ht="29" x14ac:dyDescent="0.35">
      <c r="B216" s="25" t="s">
        <v>333</v>
      </c>
      <c r="C216" s="43">
        <v>2</v>
      </c>
      <c r="D216" s="44" t="s">
        <v>625</v>
      </c>
      <c r="E216" s="43">
        <v>1</v>
      </c>
      <c r="F216" s="42"/>
    </row>
    <row r="217" spans="2:6" ht="29" x14ac:dyDescent="0.35">
      <c r="B217" s="25" t="s">
        <v>333</v>
      </c>
      <c r="C217" s="43">
        <v>3</v>
      </c>
      <c r="D217" s="44" t="s">
        <v>626</v>
      </c>
      <c r="E217" s="43">
        <v>1</v>
      </c>
      <c r="F217" s="42"/>
    </row>
    <row r="218" spans="2:6" ht="29" x14ac:dyDescent="0.35">
      <c r="B218" s="25" t="s">
        <v>333</v>
      </c>
      <c r="C218" s="43">
        <v>4</v>
      </c>
      <c r="D218" s="44" t="s">
        <v>627</v>
      </c>
      <c r="E218" s="43">
        <v>1</v>
      </c>
      <c r="F218" s="42"/>
    </row>
    <row r="219" spans="2:6" ht="29" x14ac:dyDescent="0.35">
      <c r="B219" s="25" t="s">
        <v>333</v>
      </c>
      <c r="C219" s="43">
        <v>5</v>
      </c>
      <c r="D219" s="44" t="s">
        <v>628</v>
      </c>
      <c r="E219" s="43">
        <v>1</v>
      </c>
      <c r="F219" s="42"/>
    </row>
    <row r="220" spans="2:6" x14ac:dyDescent="0.35">
      <c r="B220" s="25" t="s">
        <v>333</v>
      </c>
      <c r="C220" s="43">
        <v>6</v>
      </c>
      <c r="D220" s="44" t="s">
        <v>629</v>
      </c>
      <c r="E220" s="43">
        <v>1</v>
      </c>
      <c r="F220" s="42"/>
    </row>
    <row r="221" spans="2:6" ht="29" x14ac:dyDescent="0.35">
      <c r="B221" s="25" t="s">
        <v>336</v>
      </c>
      <c r="C221" s="43">
        <v>1</v>
      </c>
      <c r="D221" s="44" t="s">
        <v>624</v>
      </c>
      <c r="E221" s="43">
        <v>1</v>
      </c>
      <c r="F221" s="42"/>
    </row>
    <row r="222" spans="2:6" ht="29" x14ac:dyDescent="0.35">
      <c r="B222" s="25" t="s">
        <v>336</v>
      </c>
      <c r="C222" s="43">
        <v>2</v>
      </c>
      <c r="D222" s="44" t="s">
        <v>625</v>
      </c>
      <c r="E222" s="43">
        <v>1</v>
      </c>
      <c r="F222" s="42"/>
    </row>
    <row r="223" spans="2:6" ht="116" x14ac:dyDescent="0.35">
      <c r="B223" s="25" t="s">
        <v>336</v>
      </c>
      <c r="C223" s="43">
        <v>3</v>
      </c>
      <c r="D223" s="44" t="s">
        <v>630</v>
      </c>
      <c r="E223" s="43">
        <v>1</v>
      </c>
      <c r="F223" s="42"/>
    </row>
    <row r="224" spans="2:6" ht="116" x14ac:dyDescent="0.35">
      <c r="B224" s="25" t="s">
        <v>336</v>
      </c>
      <c r="C224" s="43">
        <v>4</v>
      </c>
      <c r="D224" s="44" t="s">
        <v>631</v>
      </c>
      <c r="E224" s="43">
        <v>1</v>
      </c>
      <c r="F224" s="42"/>
    </row>
    <row r="225" spans="2:6" ht="29" x14ac:dyDescent="0.35">
      <c r="B225" s="25" t="s">
        <v>336</v>
      </c>
      <c r="C225" s="43">
        <v>5</v>
      </c>
      <c r="D225" s="44" t="s">
        <v>628</v>
      </c>
      <c r="E225" s="43">
        <v>1</v>
      </c>
      <c r="F225" s="42"/>
    </row>
    <row r="226" spans="2:6" x14ac:dyDescent="0.35">
      <c r="B226" s="25" t="s">
        <v>336</v>
      </c>
      <c r="C226" s="43">
        <v>6</v>
      </c>
      <c r="D226" s="44" t="s">
        <v>629</v>
      </c>
      <c r="E226" s="43">
        <v>1</v>
      </c>
      <c r="F226" s="42"/>
    </row>
    <row r="227" spans="2:6" x14ac:dyDescent="0.35">
      <c r="B227" s="25" t="s">
        <v>321</v>
      </c>
      <c r="C227" s="43">
        <v>1</v>
      </c>
      <c r="D227" s="44" t="s">
        <v>632</v>
      </c>
      <c r="E227" s="43">
        <v>1</v>
      </c>
      <c r="F227" s="42"/>
    </row>
    <row r="228" spans="2:6" x14ac:dyDescent="0.35">
      <c r="B228" s="25" t="s">
        <v>321</v>
      </c>
      <c r="C228" s="43">
        <v>2</v>
      </c>
      <c r="D228" s="44" t="s">
        <v>633</v>
      </c>
      <c r="E228" s="43">
        <v>1</v>
      </c>
      <c r="F228" s="42"/>
    </row>
    <row r="229" spans="2:6" x14ac:dyDescent="0.35">
      <c r="B229" s="25" t="s">
        <v>321</v>
      </c>
      <c r="C229" s="43">
        <v>3</v>
      </c>
      <c r="D229" s="44" t="s">
        <v>634</v>
      </c>
      <c r="E229" s="43">
        <v>1</v>
      </c>
      <c r="F229" s="42"/>
    </row>
    <row r="230" spans="2:6" x14ac:dyDescent="0.35">
      <c r="B230" s="25" t="s">
        <v>321</v>
      </c>
      <c r="C230" s="43">
        <v>4</v>
      </c>
      <c r="D230" s="44" t="s">
        <v>635</v>
      </c>
      <c r="E230" s="43">
        <v>1</v>
      </c>
      <c r="F230" s="42"/>
    </row>
    <row r="231" spans="2:6" x14ac:dyDescent="0.35">
      <c r="B231" s="25" t="s">
        <v>345</v>
      </c>
      <c r="C231" s="43">
        <v>1</v>
      </c>
      <c r="D231" s="44" t="s">
        <v>636</v>
      </c>
      <c r="E231" s="43">
        <v>1</v>
      </c>
      <c r="F231" s="42"/>
    </row>
    <row r="232" spans="2:6" ht="29" x14ac:dyDescent="0.35">
      <c r="B232" s="25" t="s">
        <v>345</v>
      </c>
      <c r="C232" s="43">
        <v>4</v>
      </c>
      <c r="D232" s="44" t="s">
        <v>637</v>
      </c>
      <c r="E232" s="43">
        <v>1</v>
      </c>
      <c r="F232" s="42" t="s">
        <v>638</v>
      </c>
    </row>
    <row r="233" spans="2:6" ht="43.5" x14ac:dyDescent="0.35">
      <c r="B233" s="25" t="s">
        <v>345</v>
      </c>
      <c r="C233" s="43">
        <v>5</v>
      </c>
      <c r="D233" s="44" t="s">
        <v>639</v>
      </c>
      <c r="E233" s="43">
        <v>1</v>
      </c>
      <c r="F233" s="42" t="s">
        <v>640</v>
      </c>
    </row>
    <row r="234" spans="2:6" x14ac:dyDescent="0.35">
      <c r="B234" s="25" t="s">
        <v>379</v>
      </c>
      <c r="C234" s="43">
        <v>0</v>
      </c>
      <c r="D234" s="44" t="s">
        <v>641</v>
      </c>
      <c r="E234" s="43">
        <v>1</v>
      </c>
      <c r="F234" s="42" t="s">
        <v>642</v>
      </c>
    </row>
    <row r="235" spans="2:6" x14ac:dyDescent="0.35">
      <c r="B235" s="25" t="s">
        <v>379</v>
      </c>
      <c r="C235" s="43">
        <v>1</v>
      </c>
      <c r="D235" s="44" t="s">
        <v>643</v>
      </c>
      <c r="E235" s="43">
        <v>1</v>
      </c>
      <c r="F235" s="42" t="s">
        <v>644</v>
      </c>
    </row>
    <row r="236" spans="2:6" x14ac:dyDescent="0.35">
      <c r="B236" s="25" t="s">
        <v>379</v>
      </c>
      <c r="C236" s="43">
        <v>2</v>
      </c>
      <c r="D236" s="44" t="s">
        <v>645</v>
      </c>
      <c r="E236" s="43">
        <v>1</v>
      </c>
      <c r="F236" s="42" t="s">
        <v>646</v>
      </c>
    </row>
    <row r="237" spans="2:6" x14ac:dyDescent="0.35">
      <c r="B237" s="25" t="s">
        <v>379</v>
      </c>
      <c r="C237" s="43">
        <v>3</v>
      </c>
      <c r="D237" s="44" t="s">
        <v>647</v>
      </c>
      <c r="E237" s="43">
        <v>1</v>
      </c>
      <c r="F237" s="42" t="s">
        <v>648</v>
      </c>
    </row>
    <row r="238" spans="2:6" ht="72.5" x14ac:dyDescent="0.35">
      <c r="B238" s="25" t="s">
        <v>379</v>
      </c>
      <c r="C238" s="43">
        <v>4</v>
      </c>
      <c r="D238" s="44" t="s">
        <v>84</v>
      </c>
      <c r="E238" s="43">
        <v>1</v>
      </c>
      <c r="F238" s="42" t="s">
        <v>649</v>
      </c>
    </row>
    <row r="239" spans="2:6" x14ac:dyDescent="0.35">
      <c r="B239" s="29" t="s">
        <v>309</v>
      </c>
      <c r="C239" s="33">
        <v>0</v>
      </c>
      <c r="D239" s="34" t="s">
        <v>650</v>
      </c>
      <c r="E239" s="33">
        <v>1</v>
      </c>
      <c r="F239" s="32"/>
    </row>
    <row r="240" spans="2:6" x14ac:dyDescent="0.35">
      <c r="B240" s="29" t="s">
        <v>309</v>
      </c>
      <c r="C240" s="33">
        <v>1</v>
      </c>
      <c r="D240" s="34" t="s">
        <v>651</v>
      </c>
      <c r="E240" s="33">
        <v>1</v>
      </c>
      <c r="F240" s="32"/>
    </row>
    <row r="241" spans="2:6" ht="29" x14ac:dyDescent="0.35">
      <c r="B241" s="29" t="s">
        <v>309</v>
      </c>
      <c r="C241" s="33">
        <v>2</v>
      </c>
      <c r="D241" s="34" t="s">
        <v>652</v>
      </c>
      <c r="E241" s="33">
        <v>1</v>
      </c>
      <c r="F241" s="32"/>
    </row>
    <row r="242" spans="2:6" x14ac:dyDescent="0.35">
      <c r="B242" s="25" t="s">
        <v>342</v>
      </c>
      <c r="C242" s="43">
        <v>0</v>
      </c>
      <c r="D242" s="44" t="s">
        <v>641</v>
      </c>
      <c r="E242" s="43">
        <v>1</v>
      </c>
      <c r="F242" s="42"/>
    </row>
    <row r="243" spans="2:6" x14ac:dyDescent="0.35">
      <c r="B243" s="25" t="s">
        <v>342</v>
      </c>
      <c r="C243" s="43">
        <v>1</v>
      </c>
      <c r="D243" s="44" t="s">
        <v>632</v>
      </c>
      <c r="E243" s="43">
        <v>1</v>
      </c>
      <c r="F243" s="42"/>
    </row>
    <row r="244" spans="2:6" x14ac:dyDescent="0.35">
      <c r="B244" s="25" t="s">
        <v>342</v>
      </c>
      <c r="C244" s="43">
        <v>2</v>
      </c>
      <c r="D244" s="44" t="s">
        <v>633</v>
      </c>
      <c r="E244" s="43">
        <v>1</v>
      </c>
      <c r="F244" s="42"/>
    </row>
    <row r="245" spans="2:6" x14ac:dyDescent="0.35">
      <c r="B245" s="25" t="s">
        <v>342</v>
      </c>
      <c r="C245" s="43">
        <v>3</v>
      </c>
      <c r="D245" s="44" t="s">
        <v>634</v>
      </c>
      <c r="E245" s="43">
        <v>1</v>
      </c>
      <c r="F245" s="42"/>
    </row>
    <row r="246" spans="2:6" ht="29" x14ac:dyDescent="0.35">
      <c r="B246" s="25" t="s">
        <v>297</v>
      </c>
      <c r="C246" s="27" t="s">
        <v>653</v>
      </c>
      <c r="D246" s="26" t="s">
        <v>654</v>
      </c>
      <c r="E246" s="27">
        <v>1</v>
      </c>
      <c r="F246" s="42" t="s">
        <v>655</v>
      </c>
    </row>
    <row r="247" spans="2:6" x14ac:dyDescent="0.35">
      <c r="B247" s="25" t="s">
        <v>297</v>
      </c>
      <c r="C247" s="27" t="s">
        <v>656</v>
      </c>
      <c r="D247" s="26" t="s">
        <v>657</v>
      </c>
      <c r="E247" s="27">
        <v>1</v>
      </c>
      <c r="F247" s="42" t="s">
        <v>658</v>
      </c>
    </row>
    <row r="248" spans="2:6" x14ac:dyDescent="0.35">
      <c r="B248" s="25" t="s">
        <v>297</v>
      </c>
      <c r="C248" s="27" t="s">
        <v>659</v>
      </c>
      <c r="D248" s="26" t="s">
        <v>660</v>
      </c>
      <c r="E248" s="27">
        <v>1</v>
      </c>
      <c r="F248" s="42" t="s">
        <v>661</v>
      </c>
    </row>
    <row r="249" spans="2:6" x14ac:dyDescent="0.35">
      <c r="B249" s="25" t="s">
        <v>297</v>
      </c>
      <c r="C249" s="27" t="s">
        <v>662</v>
      </c>
      <c r="D249" s="26" t="s">
        <v>663</v>
      </c>
      <c r="E249" s="27">
        <v>1</v>
      </c>
      <c r="F249" s="42" t="s">
        <v>664</v>
      </c>
    </row>
    <row r="250" spans="2:6" x14ac:dyDescent="0.35">
      <c r="B250" s="25" t="s">
        <v>297</v>
      </c>
      <c r="C250" s="27" t="s">
        <v>665</v>
      </c>
      <c r="D250" s="26" t="s">
        <v>666</v>
      </c>
      <c r="E250" s="27">
        <v>1</v>
      </c>
      <c r="F250" s="42" t="s">
        <v>667</v>
      </c>
    </row>
    <row r="251" spans="2:6" x14ac:dyDescent="0.35">
      <c r="B251" s="25" t="s">
        <v>297</v>
      </c>
      <c r="C251" s="27" t="s">
        <v>668</v>
      </c>
      <c r="D251" s="26" t="s">
        <v>669</v>
      </c>
      <c r="E251" s="27">
        <v>1</v>
      </c>
      <c r="F251" s="42" t="s">
        <v>667</v>
      </c>
    </row>
    <row r="252" spans="2:6" x14ac:dyDescent="0.35">
      <c r="B252" s="25" t="s">
        <v>297</v>
      </c>
      <c r="C252" s="27" t="s">
        <v>670</v>
      </c>
      <c r="D252" s="26" t="s">
        <v>671</v>
      </c>
      <c r="E252" s="27">
        <v>1</v>
      </c>
      <c r="F252" s="42" t="s">
        <v>667</v>
      </c>
    </row>
    <row r="253" spans="2:6" x14ac:dyDescent="0.35">
      <c r="B253" s="25" t="s">
        <v>297</v>
      </c>
      <c r="C253" s="27" t="s">
        <v>672</v>
      </c>
      <c r="D253" s="26" t="s">
        <v>673</v>
      </c>
      <c r="E253" s="27">
        <v>1</v>
      </c>
      <c r="F253" s="42" t="s">
        <v>667</v>
      </c>
    </row>
    <row r="254" spans="2:6" x14ac:dyDescent="0.35">
      <c r="B254" s="25" t="s">
        <v>297</v>
      </c>
      <c r="C254" s="27" t="s">
        <v>674</v>
      </c>
      <c r="D254" s="26" t="s">
        <v>675</v>
      </c>
      <c r="E254" s="27">
        <v>1</v>
      </c>
      <c r="F254" s="42" t="s">
        <v>667</v>
      </c>
    </row>
    <row r="255" spans="2:6" x14ac:dyDescent="0.35">
      <c r="B255" s="25" t="s">
        <v>297</v>
      </c>
      <c r="C255" s="27" t="s">
        <v>676</v>
      </c>
      <c r="D255" s="26" t="s">
        <v>677</v>
      </c>
      <c r="E255" s="27">
        <v>1</v>
      </c>
      <c r="F255" s="42" t="s">
        <v>667</v>
      </c>
    </row>
    <row r="256" spans="2:6" x14ac:dyDescent="0.35">
      <c r="B256" s="25" t="s">
        <v>297</v>
      </c>
      <c r="C256" s="27" t="s">
        <v>678</v>
      </c>
      <c r="D256" s="26" t="s">
        <v>679</v>
      </c>
      <c r="E256" s="27">
        <v>1</v>
      </c>
      <c r="F256" s="42" t="s">
        <v>667</v>
      </c>
    </row>
    <row r="257" spans="2:6" x14ac:dyDescent="0.35">
      <c r="B257" s="25" t="s">
        <v>297</v>
      </c>
      <c r="C257" s="27" t="s">
        <v>680</v>
      </c>
      <c r="D257" s="26" t="s">
        <v>681</v>
      </c>
      <c r="E257" s="27">
        <v>1</v>
      </c>
      <c r="F257" s="42" t="s">
        <v>667</v>
      </c>
    </row>
    <row r="258" spans="2:6" x14ac:dyDescent="0.35">
      <c r="B258" s="25" t="s">
        <v>297</v>
      </c>
      <c r="C258" s="27" t="s">
        <v>682</v>
      </c>
      <c r="D258" s="26" t="s">
        <v>683</v>
      </c>
      <c r="E258" s="27">
        <v>1</v>
      </c>
      <c r="F258" s="42" t="s">
        <v>667</v>
      </c>
    </row>
    <row r="259" spans="2:6" x14ac:dyDescent="0.35">
      <c r="B259" s="25" t="s">
        <v>297</v>
      </c>
      <c r="C259" s="27" t="s">
        <v>684</v>
      </c>
      <c r="D259" s="26" t="s">
        <v>685</v>
      </c>
      <c r="E259" s="27">
        <v>1</v>
      </c>
      <c r="F259" s="42" t="s">
        <v>667</v>
      </c>
    </row>
    <row r="260" spans="2:6" x14ac:dyDescent="0.35">
      <c r="B260" s="25" t="s">
        <v>297</v>
      </c>
      <c r="C260" s="27" t="s">
        <v>686</v>
      </c>
      <c r="D260" s="26" t="s">
        <v>687</v>
      </c>
      <c r="E260" s="27">
        <v>1</v>
      </c>
      <c r="F260" s="42" t="s">
        <v>667</v>
      </c>
    </row>
    <row r="261" spans="2:6" x14ac:dyDescent="0.35">
      <c r="B261" s="25" t="s">
        <v>297</v>
      </c>
      <c r="C261" s="27" t="s">
        <v>688</v>
      </c>
      <c r="D261" s="26" t="s">
        <v>689</v>
      </c>
      <c r="E261" s="27">
        <v>1</v>
      </c>
      <c r="F261" s="42" t="s">
        <v>667</v>
      </c>
    </row>
    <row r="262" spans="2:6" ht="29" x14ac:dyDescent="0.35">
      <c r="B262" s="25" t="s">
        <v>297</v>
      </c>
      <c r="C262" s="27" t="s">
        <v>690</v>
      </c>
      <c r="D262" s="26" t="s">
        <v>691</v>
      </c>
      <c r="E262" s="27">
        <v>1</v>
      </c>
      <c r="F262" s="42" t="s">
        <v>664</v>
      </c>
    </row>
    <row r="263" spans="2:6" x14ac:dyDescent="0.35">
      <c r="B263" s="25" t="s">
        <v>297</v>
      </c>
      <c r="C263" s="27" t="s">
        <v>692</v>
      </c>
      <c r="D263" s="26" t="s">
        <v>693</v>
      </c>
      <c r="E263" s="27">
        <v>1</v>
      </c>
      <c r="F263" s="42" t="s">
        <v>667</v>
      </c>
    </row>
    <row r="264" spans="2:6" ht="29" x14ac:dyDescent="0.35">
      <c r="B264" s="25" t="s">
        <v>297</v>
      </c>
      <c r="C264" s="27" t="s">
        <v>694</v>
      </c>
      <c r="D264" s="26" t="s">
        <v>695</v>
      </c>
      <c r="E264" s="27">
        <v>1</v>
      </c>
      <c r="F264" s="42" t="s">
        <v>667</v>
      </c>
    </row>
    <row r="265" spans="2:6" ht="29" x14ac:dyDescent="0.35">
      <c r="B265" s="25" t="s">
        <v>297</v>
      </c>
      <c r="C265" s="27" t="s">
        <v>696</v>
      </c>
      <c r="D265" s="26" t="s">
        <v>697</v>
      </c>
      <c r="E265" s="27">
        <v>1</v>
      </c>
      <c r="F265" s="42" t="s">
        <v>664</v>
      </c>
    </row>
    <row r="266" spans="2:6" x14ac:dyDescent="0.35">
      <c r="B266" s="25" t="s">
        <v>297</v>
      </c>
      <c r="C266" s="27" t="s">
        <v>698</v>
      </c>
      <c r="D266" s="26" t="s">
        <v>699</v>
      </c>
      <c r="E266" s="27">
        <v>1</v>
      </c>
      <c r="F266" s="42" t="s">
        <v>667</v>
      </c>
    </row>
    <row r="267" spans="2:6" x14ac:dyDescent="0.35">
      <c r="B267" s="25" t="s">
        <v>297</v>
      </c>
      <c r="C267" s="27" t="s">
        <v>700</v>
      </c>
      <c r="D267" s="26" t="s">
        <v>701</v>
      </c>
      <c r="E267" s="27">
        <v>1</v>
      </c>
      <c r="F267" s="42" t="s">
        <v>702</v>
      </c>
    </row>
    <row r="268" spans="2:6" x14ac:dyDescent="0.35">
      <c r="B268" s="25" t="s">
        <v>297</v>
      </c>
      <c r="C268" s="27" t="s">
        <v>703</v>
      </c>
      <c r="D268" s="26" t="s">
        <v>704</v>
      </c>
      <c r="E268" s="27">
        <v>1</v>
      </c>
      <c r="F268" s="42" t="s">
        <v>702</v>
      </c>
    </row>
    <row r="269" spans="2:6" x14ac:dyDescent="0.35">
      <c r="B269" s="25" t="s">
        <v>297</v>
      </c>
      <c r="C269" s="27" t="s">
        <v>705</v>
      </c>
      <c r="D269" s="26" t="s">
        <v>706</v>
      </c>
      <c r="E269" s="27">
        <v>1</v>
      </c>
      <c r="F269" s="42" t="s">
        <v>702</v>
      </c>
    </row>
    <row r="270" spans="2:6" x14ac:dyDescent="0.35">
      <c r="B270" s="25" t="s">
        <v>297</v>
      </c>
      <c r="C270" s="27" t="s">
        <v>707</v>
      </c>
      <c r="D270" s="26" t="s">
        <v>708</v>
      </c>
      <c r="E270" s="27">
        <v>1</v>
      </c>
      <c r="F270" s="42" t="s">
        <v>702</v>
      </c>
    </row>
    <row r="271" spans="2:6" x14ac:dyDescent="0.35">
      <c r="B271" s="25" t="s">
        <v>297</v>
      </c>
      <c r="C271" s="27" t="s">
        <v>709</v>
      </c>
      <c r="D271" s="26" t="s">
        <v>710</v>
      </c>
      <c r="E271" s="27">
        <v>1</v>
      </c>
      <c r="F271" s="42" t="s">
        <v>702</v>
      </c>
    </row>
    <row r="272" spans="2:6" x14ac:dyDescent="0.35">
      <c r="B272" s="25" t="s">
        <v>297</v>
      </c>
      <c r="C272" s="27" t="s">
        <v>711</v>
      </c>
      <c r="D272" s="26" t="s">
        <v>712</v>
      </c>
      <c r="E272" s="27">
        <v>1</v>
      </c>
      <c r="F272" s="42" t="s">
        <v>667</v>
      </c>
    </row>
    <row r="273" spans="2:6" ht="29" x14ac:dyDescent="0.35">
      <c r="B273" s="25" t="s">
        <v>297</v>
      </c>
      <c r="C273" s="27" t="s">
        <v>713</v>
      </c>
      <c r="D273" s="26" t="s">
        <v>714</v>
      </c>
      <c r="E273" s="27">
        <v>1</v>
      </c>
      <c r="F273" s="42" t="s">
        <v>667</v>
      </c>
    </row>
    <row r="274" spans="2:6" x14ac:dyDescent="0.35">
      <c r="B274" s="25" t="s">
        <v>297</v>
      </c>
      <c r="C274" s="27" t="s">
        <v>715</v>
      </c>
      <c r="D274" s="26" t="s">
        <v>716</v>
      </c>
      <c r="E274" s="27">
        <v>1</v>
      </c>
      <c r="F274" s="42" t="s">
        <v>702</v>
      </c>
    </row>
    <row r="275" spans="2:6" x14ac:dyDescent="0.35">
      <c r="B275" s="25" t="s">
        <v>297</v>
      </c>
      <c r="C275" s="27" t="s">
        <v>717</v>
      </c>
      <c r="D275" s="26" t="s">
        <v>718</v>
      </c>
      <c r="E275" s="27">
        <v>1</v>
      </c>
      <c r="F275" s="42" t="s">
        <v>702</v>
      </c>
    </row>
    <row r="276" spans="2:6" x14ac:dyDescent="0.35">
      <c r="B276" s="25" t="s">
        <v>297</v>
      </c>
      <c r="C276" s="27" t="s">
        <v>719</v>
      </c>
      <c r="D276" s="26" t="s">
        <v>720</v>
      </c>
      <c r="E276" s="27">
        <v>1</v>
      </c>
      <c r="F276" s="42" t="s">
        <v>702</v>
      </c>
    </row>
    <row r="277" spans="2:6" ht="29" x14ac:dyDescent="0.35">
      <c r="B277" s="25" t="s">
        <v>297</v>
      </c>
      <c r="C277" s="27" t="s">
        <v>721</v>
      </c>
      <c r="D277" s="26" t="s">
        <v>722</v>
      </c>
      <c r="E277" s="27">
        <v>1</v>
      </c>
      <c r="F277" s="42" t="s">
        <v>702</v>
      </c>
    </row>
    <row r="278" spans="2:6" x14ac:dyDescent="0.35">
      <c r="B278" s="25" t="s">
        <v>297</v>
      </c>
      <c r="C278" s="27" t="s">
        <v>723</v>
      </c>
      <c r="D278" s="26" t="s">
        <v>724</v>
      </c>
      <c r="E278" s="27">
        <v>1</v>
      </c>
      <c r="F278" s="42" t="s">
        <v>664</v>
      </c>
    </row>
    <row r="279" spans="2:6" ht="29" x14ac:dyDescent="0.35">
      <c r="B279" s="25" t="s">
        <v>297</v>
      </c>
      <c r="C279" s="27" t="s">
        <v>725</v>
      </c>
      <c r="D279" s="26" t="s">
        <v>726</v>
      </c>
      <c r="E279" s="27">
        <v>1</v>
      </c>
      <c r="F279" s="42" t="s">
        <v>667</v>
      </c>
    </row>
    <row r="280" spans="2:6" ht="29" x14ac:dyDescent="0.35">
      <c r="B280" s="25" t="s">
        <v>297</v>
      </c>
      <c r="C280" s="27" t="s">
        <v>727</v>
      </c>
      <c r="D280" s="26" t="s">
        <v>728</v>
      </c>
      <c r="E280" s="27">
        <v>1</v>
      </c>
      <c r="F280" s="42" t="s">
        <v>667</v>
      </c>
    </row>
    <row r="281" spans="2:6" x14ac:dyDescent="0.35">
      <c r="B281" s="25" t="s">
        <v>297</v>
      </c>
      <c r="C281" s="27" t="s">
        <v>729</v>
      </c>
      <c r="D281" s="26" t="s">
        <v>730</v>
      </c>
      <c r="E281" s="27">
        <v>1</v>
      </c>
      <c r="F281" s="42" t="s">
        <v>667</v>
      </c>
    </row>
    <row r="282" spans="2:6" x14ac:dyDescent="0.35">
      <c r="B282" s="25" t="s">
        <v>297</v>
      </c>
      <c r="C282" s="27" t="s">
        <v>731</v>
      </c>
      <c r="D282" s="26" t="s">
        <v>732</v>
      </c>
      <c r="E282" s="27">
        <v>1</v>
      </c>
      <c r="F282" s="42" t="s">
        <v>667</v>
      </c>
    </row>
    <row r="283" spans="2:6" x14ac:dyDescent="0.35">
      <c r="B283" s="25" t="s">
        <v>297</v>
      </c>
      <c r="C283" s="27" t="s">
        <v>733</v>
      </c>
      <c r="D283" s="26" t="s">
        <v>734</v>
      </c>
      <c r="E283" s="27">
        <v>1</v>
      </c>
      <c r="F283" s="42" t="s">
        <v>667</v>
      </c>
    </row>
    <row r="284" spans="2:6" x14ac:dyDescent="0.35">
      <c r="B284" s="25" t="s">
        <v>297</v>
      </c>
      <c r="C284" s="27" t="s">
        <v>735</v>
      </c>
      <c r="D284" s="26" t="s">
        <v>736</v>
      </c>
      <c r="E284" s="27">
        <v>1</v>
      </c>
      <c r="F284" s="42" t="s">
        <v>664</v>
      </c>
    </row>
    <row r="285" spans="2:6" x14ac:dyDescent="0.35">
      <c r="B285" s="25" t="s">
        <v>297</v>
      </c>
      <c r="C285" s="27" t="s">
        <v>737</v>
      </c>
      <c r="D285" s="26" t="s">
        <v>738</v>
      </c>
      <c r="E285" s="27">
        <v>1</v>
      </c>
      <c r="F285" s="42" t="s">
        <v>667</v>
      </c>
    </row>
    <row r="286" spans="2:6" x14ac:dyDescent="0.35">
      <c r="B286" s="25" t="s">
        <v>297</v>
      </c>
      <c r="C286" s="27" t="s">
        <v>739</v>
      </c>
      <c r="D286" s="26" t="s">
        <v>740</v>
      </c>
      <c r="E286" s="27">
        <v>1</v>
      </c>
      <c r="F286" s="42" t="s">
        <v>667</v>
      </c>
    </row>
    <row r="287" spans="2:6" x14ac:dyDescent="0.35">
      <c r="B287" s="25" t="s">
        <v>297</v>
      </c>
      <c r="C287" s="27" t="s">
        <v>741</v>
      </c>
      <c r="D287" s="26" t="s">
        <v>736</v>
      </c>
      <c r="E287" s="27">
        <v>1</v>
      </c>
      <c r="F287" s="42" t="s">
        <v>667</v>
      </c>
    </row>
    <row r="288" spans="2:6" ht="29" x14ac:dyDescent="0.35">
      <c r="B288" s="25" t="s">
        <v>297</v>
      </c>
      <c r="C288" s="27" t="s">
        <v>742</v>
      </c>
      <c r="D288" s="26" t="s">
        <v>743</v>
      </c>
      <c r="E288" s="27">
        <v>1</v>
      </c>
      <c r="F288" s="42" t="s">
        <v>661</v>
      </c>
    </row>
    <row r="289" spans="2:6" x14ac:dyDescent="0.35">
      <c r="B289" s="25" t="s">
        <v>297</v>
      </c>
      <c r="C289" s="27" t="s">
        <v>744</v>
      </c>
      <c r="D289" s="26" t="s">
        <v>745</v>
      </c>
      <c r="E289" s="27">
        <v>1</v>
      </c>
      <c r="F289" s="42" t="s">
        <v>664</v>
      </c>
    </row>
    <row r="290" spans="2:6" x14ac:dyDescent="0.35">
      <c r="B290" s="25" t="s">
        <v>297</v>
      </c>
      <c r="C290" s="27" t="s">
        <v>746</v>
      </c>
      <c r="D290" s="26" t="s">
        <v>747</v>
      </c>
      <c r="E290" s="27">
        <v>1</v>
      </c>
      <c r="F290" s="42" t="s">
        <v>664</v>
      </c>
    </row>
    <row r="291" spans="2:6" x14ac:dyDescent="0.35">
      <c r="B291" s="25" t="s">
        <v>297</v>
      </c>
      <c r="C291" s="27" t="s">
        <v>748</v>
      </c>
      <c r="D291" s="26" t="s">
        <v>749</v>
      </c>
      <c r="E291" s="27">
        <v>1</v>
      </c>
      <c r="F291" s="42" t="s">
        <v>664</v>
      </c>
    </row>
    <row r="292" spans="2:6" ht="29" x14ac:dyDescent="0.35">
      <c r="B292" s="25" t="s">
        <v>297</v>
      </c>
      <c r="C292" s="27" t="s">
        <v>750</v>
      </c>
      <c r="D292" s="26" t="s">
        <v>751</v>
      </c>
      <c r="E292" s="27">
        <v>1</v>
      </c>
      <c r="F292" s="42" t="s">
        <v>664</v>
      </c>
    </row>
    <row r="293" spans="2:6" x14ac:dyDescent="0.35">
      <c r="B293" s="25" t="s">
        <v>297</v>
      </c>
      <c r="C293" s="27" t="s">
        <v>752</v>
      </c>
      <c r="D293" s="26" t="s">
        <v>753</v>
      </c>
      <c r="E293" s="27">
        <v>1</v>
      </c>
      <c r="F293" s="42" t="s">
        <v>658</v>
      </c>
    </row>
    <row r="294" spans="2:6" x14ac:dyDescent="0.35">
      <c r="B294" s="25" t="s">
        <v>297</v>
      </c>
      <c r="C294" s="27" t="s">
        <v>754</v>
      </c>
      <c r="D294" s="26" t="s">
        <v>755</v>
      </c>
      <c r="E294" s="27">
        <v>1</v>
      </c>
      <c r="F294" s="42" t="s">
        <v>661</v>
      </c>
    </row>
    <row r="295" spans="2:6" x14ac:dyDescent="0.35">
      <c r="B295" s="25" t="s">
        <v>297</v>
      </c>
      <c r="C295" s="27" t="s">
        <v>756</v>
      </c>
      <c r="D295" s="26" t="s">
        <v>757</v>
      </c>
      <c r="E295" s="27">
        <v>1</v>
      </c>
      <c r="F295" s="42" t="s">
        <v>664</v>
      </c>
    </row>
    <row r="296" spans="2:6" x14ac:dyDescent="0.35">
      <c r="B296" s="25" t="s">
        <v>297</v>
      </c>
      <c r="C296" s="27" t="s">
        <v>758</v>
      </c>
      <c r="D296" s="26" t="s">
        <v>759</v>
      </c>
      <c r="E296" s="27">
        <v>1</v>
      </c>
      <c r="F296" s="42" t="s">
        <v>664</v>
      </c>
    </row>
    <row r="297" spans="2:6" x14ac:dyDescent="0.35">
      <c r="B297" s="25" t="s">
        <v>297</v>
      </c>
      <c r="C297" s="27" t="s">
        <v>760</v>
      </c>
      <c r="D297" s="26" t="s">
        <v>761</v>
      </c>
      <c r="E297" s="27">
        <v>1</v>
      </c>
      <c r="F297" s="42" t="s">
        <v>664</v>
      </c>
    </row>
    <row r="298" spans="2:6" x14ac:dyDescent="0.35">
      <c r="B298" s="25" t="s">
        <v>297</v>
      </c>
      <c r="C298" s="27" t="s">
        <v>762</v>
      </c>
      <c r="D298" s="26" t="s">
        <v>763</v>
      </c>
      <c r="E298" s="27">
        <v>1</v>
      </c>
      <c r="F298" s="42" t="s">
        <v>664</v>
      </c>
    </row>
    <row r="299" spans="2:6" x14ac:dyDescent="0.35">
      <c r="B299" s="25" t="s">
        <v>297</v>
      </c>
      <c r="C299" s="27" t="s">
        <v>764</v>
      </c>
      <c r="D299" s="26" t="s">
        <v>765</v>
      </c>
      <c r="E299" s="27">
        <v>1</v>
      </c>
      <c r="F299" s="42" t="s">
        <v>664</v>
      </c>
    </row>
    <row r="300" spans="2:6" x14ac:dyDescent="0.35">
      <c r="B300" s="25" t="s">
        <v>297</v>
      </c>
      <c r="C300" s="27" t="s">
        <v>766</v>
      </c>
      <c r="D300" s="26" t="s">
        <v>767</v>
      </c>
      <c r="E300" s="27">
        <v>1</v>
      </c>
      <c r="F300" s="42" t="s">
        <v>664</v>
      </c>
    </row>
    <row r="301" spans="2:6" ht="29" x14ac:dyDescent="0.35">
      <c r="B301" s="25" t="s">
        <v>297</v>
      </c>
      <c r="C301" s="27" t="s">
        <v>768</v>
      </c>
      <c r="D301" s="26" t="s">
        <v>769</v>
      </c>
      <c r="E301" s="27">
        <v>1</v>
      </c>
      <c r="F301" s="42" t="s">
        <v>661</v>
      </c>
    </row>
    <row r="302" spans="2:6" x14ac:dyDescent="0.35">
      <c r="B302" s="25" t="s">
        <v>297</v>
      </c>
      <c r="C302" s="27" t="s">
        <v>770</v>
      </c>
      <c r="D302" s="26" t="s">
        <v>771</v>
      </c>
      <c r="E302" s="27">
        <v>1</v>
      </c>
      <c r="F302" s="42" t="s">
        <v>664</v>
      </c>
    </row>
    <row r="303" spans="2:6" ht="29" x14ac:dyDescent="0.35">
      <c r="B303" s="25" t="s">
        <v>297</v>
      </c>
      <c r="C303" s="27" t="s">
        <v>772</v>
      </c>
      <c r="D303" s="26" t="s">
        <v>773</v>
      </c>
      <c r="E303" s="27">
        <v>1</v>
      </c>
      <c r="F303" s="42" t="s">
        <v>664</v>
      </c>
    </row>
    <row r="304" spans="2:6" x14ac:dyDescent="0.35">
      <c r="B304" s="25" t="s">
        <v>297</v>
      </c>
      <c r="C304" s="27" t="s">
        <v>774</v>
      </c>
      <c r="D304" s="26" t="s">
        <v>775</v>
      </c>
      <c r="E304" s="27">
        <v>1</v>
      </c>
      <c r="F304" s="42" t="s">
        <v>658</v>
      </c>
    </row>
    <row r="305" spans="2:6" ht="29" x14ac:dyDescent="0.35">
      <c r="B305" s="25" t="s">
        <v>297</v>
      </c>
      <c r="C305" s="27" t="s">
        <v>776</v>
      </c>
      <c r="D305" s="26" t="s">
        <v>777</v>
      </c>
      <c r="E305" s="27">
        <v>1</v>
      </c>
      <c r="F305" s="42" t="s">
        <v>661</v>
      </c>
    </row>
    <row r="306" spans="2:6" ht="29" x14ac:dyDescent="0.35">
      <c r="B306" s="25" t="s">
        <v>297</v>
      </c>
      <c r="C306" s="27" t="s">
        <v>778</v>
      </c>
      <c r="D306" s="26" t="s">
        <v>779</v>
      </c>
      <c r="E306" s="27">
        <v>1</v>
      </c>
      <c r="F306" s="42" t="s">
        <v>664</v>
      </c>
    </row>
    <row r="307" spans="2:6" ht="29" x14ac:dyDescent="0.35">
      <c r="B307" s="25" t="s">
        <v>297</v>
      </c>
      <c r="C307" s="27" t="s">
        <v>780</v>
      </c>
      <c r="D307" s="26" t="s">
        <v>781</v>
      </c>
      <c r="E307" s="27">
        <v>1</v>
      </c>
      <c r="F307" s="42" t="s">
        <v>664</v>
      </c>
    </row>
    <row r="308" spans="2:6" ht="29" x14ac:dyDescent="0.35">
      <c r="B308" s="25" t="s">
        <v>297</v>
      </c>
      <c r="C308" s="27" t="s">
        <v>782</v>
      </c>
      <c r="D308" s="26" t="s">
        <v>783</v>
      </c>
      <c r="E308" s="27">
        <v>1</v>
      </c>
      <c r="F308" s="42" t="s">
        <v>661</v>
      </c>
    </row>
    <row r="309" spans="2:6" x14ac:dyDescent="0.35">
      <c r="B309" s="25" t="s">
        <v>297</v>
      </c>
      <c r="C309" s="27" t="s">
        <v>784</v>
      </c>
      <c r="D309" s="26" t="s">
        <v>785</v>
      </c>
      <c r="E309" s="27">
        <v>1</v>
      </c>
      <c r="F309" s="42" t="s">
        <v>658</v>
      </c>
    </row>
    <row r="310" spans="2:6" ht="29" x14ac:dyDescent="0.35">
      <c r="B310" s="25" t="s">
        <v>297</v>
      </c>
      <c r="C310" s="27" t="s">
        <v>786</v>
      </c>
      <c r="D310" s="26" t="s">
        <v>787</v>
      </c>
      <c r="E310" s="27">
        <v>1</v>
      </c>
      <c r="F310" s="42" t="s">
        <v>661</v>
      </c>
    </row>
    <row r="311" spans="2:6" ht="29" x14ac:dyDescent="0.35">
      <c r="B311" s="25" t="s">
        <v>297</v>
      </c>
      <c r="C311" s="27" t="s">
        <v>788</v>
      </c>
      <c r="D311" s="26" t="s">
        <v>789</v>
      </c>
      <c r="E311" s="27">
        <v>1</v>
      </c>
      <c r="F311" s="42" t="s">
        <v>658</v>
      </c>
    </row>
    <row r="312" spans="2:6" ht="29" x14ac:dyDescent="0.35">
      <c r="B312" s="25" t="s">
        <v>297</v>
      </c>
      <c r="C312" s="27" t="s">
        <v>790</v>
      </c>
      <c r="D312" s="26" t="s">
        <v>791</v>
      </c>
      <c r="E312" s="27">
        <v>1</v>
      </c>
      <c r="F312" s="42" t="s">
        <v>661</v>
      </c>
    </row>
    <row r="313" spans="2:6" x14ac:dyDescent="0.35">
      <c r="B313" s="25" t="s">
        <v>297</v>
      </c>
      <c r="C313" s="27" t="s">
        <v>792</v>
      </c>
      <c r="D313" s="26" t="s">
        <v>793</v>
      </c>
      <c r="E313" s="27">
        <v>1</v>
      </c>
      <c r="F313" s="42" t="s">
        <v>661</v>
      </c>
    </row>
    <row r="314" spans="2:6" ht="29" x14ac:dyDescent="0.35">
      <c r="B314" s="25" t="s">
        <v>297</v>
      </c>
      <c r="C314" s="27" t="s">
        <v>794</v>
      </c>
      <c r="D314" s="26" t="s">
        <v>795</v>
      </c>
      <c r="E314" s="27">
        <v>1</v>
      </c>
      <c r="F314" s="42" t="s">
        <v>658</v>
      </c>
    </row>
    <row r="315" spans="2:6" x14ac:dyDescent="0.35">
      <c r="B315" s="25" t="s">
        <v>297</v>
      </c>
      <c r="C315" s="27" t="s">
        <v>796</v>
      </c>
      <c r="D315" s="26" t="s">
        <v>797</v>
      </c>
      <c r="E315" s="27">
        <v>1</v>
      </c>
      <c r="F315" s="42" t="s">
        <v>655</v>
      </c>
    </row>
    <row r="316" spans="2:6" x14ac:dyDescent="0.35">
      <c r="B316" s="25" t="s">
        <v>297</v>
      </c>
      <c r="C316" s="27" t="s">
        <v>798</v>
      </c>
      <c r="D316" s="26" t="s">
        <v>799</v>
      </c>
      <c r="E316" s="27">
        <v>1</v>
      </c>
      <c r="F316" s="42" t="s">
        <v>658</v>
      </c>
    </row>
    <row r="317" spans="2:6" x14ac:dyDescent="0.35">
      <c r="B317" s="25" t="s">
        <v>297</v>
      </c>
      <c r="C317" s="27" t="s">
        <v>800</v>
      </c>
      <c r="D317" s="26" t="s">
        <v>801</v>
      </c>
      <c r="E317" s="27">
        <v>1</v>
      </c>
      <c r="F317" s="42" t="s">
        <v>658</v>
      </c>
    </row>
    <row r="318" spans="2:6" x14ac:dyDescent="0.35">
      <c r="B318" s="25" t="s">
        <v>297</v>
      </c>
      <c r="C318" s="27" t="s">
        <v>802</v>
      </c>
      <c r="D318" s="26" t="s">
        <v>803</v>
      </c>
      <c r="E318" s="27">
        <v>1</v>
      </c>
      <c r="F318" s="42" t="s">
        <v>658</v>
      </c>
    </row>
    <row r="319" spans="2:6" x14ac:dyDescent="0.35">
      <c r="B319" s="25" t="s">
        <v>297</v>
      </c>
      <c r="C319" s="27" t="s">
        <v>804</v>
      </c>
      <c r="D319" s="26" t="s">
        <v>805</v>
      </c>
      <c r="E319" s="27">
        <v>1</v>
      </c>
      <c r="F319" s="42" t="s">
        <v>661</v>
      </c>
    </row>
    <row r="320" spans="2:6" x14ac:dyDescent="0.35">
      <c r="B320" s="25" t="s">
        <v>297</v>
      </c>
      <c r="C320" s="27" t="s">
        <v>806</v>
      </c>
      <c r="D320" s="26" t="s">
        <v>807</v>
      </c>
      <c r="E320" s="27">
        <v>1</v>
      </c>
      <c r="F320" s="42" t="s">
        <v>661</v>
      </c>
    </row>
    <row r="321" spans="2:6" x14ac:dyDescent="0.35">
      <c r="B321" s="25" t="s">
        <v>297</v>
      </c>
      <c r="C321" s="27" t="s">
        <v>808</v>
      </c>
      <c r="D321" s="26" t="s">
        <v>809</v>
      </c>
      <c r="E321" s="27">
        <v>1</v>
      </c>
      <c r="F321" s="42" t="s">
        <v>661</v>
      </c>
    </row>
    <row r="322" spans="2:6" x14ac:dyDescent="0.35">
      <c r="B322" s="25" t="s">
        <v>297</v>
      </c>
      <c r="C322" s="27" t="s">
        <v>810</v>
      </c>
      <c r="D322" s="26" t="s">
        <v>811</v>
      </c>
      <c r="E322" s="27">
        <v>1</v>
      </c>
      <c r="F322" s="42" t="s">
        <v>661</v>
      </c>
    </row>
    <row r="323" spans="2:6" x14ac:dyDescent="0.35">
      <c r="B323" s="25" t="s">
        <v>297</v>
      </c>
      <c r="C323" s="27" t="s">
        <v>812</v>
      </c>
      <c r="D323" s="26" t="s">
        <v>813</v>
      </c>
      <c r="E323" s="27">
        <v>1</v>
      </c>
      <c r="F323" s="42" t="s">
        <v>661</v>
      </c>
    </row>
    <row r="324" spans="2:6" x14ac:dyDescent="0.35">
      <c r="B324" s="25" t="s">
        <v>297</v>
      </c>
      <c r="C324" s="27" t="s">
        <v>814</v>
      </c>
      <c r="D324" s="26" t="s">
        <v>815</v>
      </c>
      <c r="E324" s="27">
        <v>1</v>
      </c>
      <c r="F324" s="42" t="s">
        <v>661</v>
      </c>
    </row>
    <row r="325" spans="2:6" ht="29" x14ac:dyDescent="0.35">
      <c r="B325" s="25" t="s">
        <v>297</v>
      </c>
      <c r="C325" s="27" t="s">
        <v>816</v>
      </c>
      <c r="D325" s="26" t="s">
        <v>817</v>
      </c>
      <c r="E325" s="27">
        <v>1</v>
      </c>
      <c r="F325" s="42" t="s">
        <v>658</v>
      </c>
    </row>
    <row r="326" spans="2:6" x14ac:dyDescent="0.35">
      <c r="B326" s="25" t="s">
        <v>297</v>
      </c>
      <c r="C326" s="27" t="s">
        <v>818</v>
      </c>
      <c r="D326" s="26" t="s">
        <v>819</v>
      </c>
      <c r="E326" s="27">
        <v>1</v>
      </c>
      <c r="F326" s="42" t="s">
        <v>661</v>
      </c>
    </row>
    <row r="327" spans="2:6" ht="29" x14ac:dyDescent="0.35">
      <c r="B327" s="25" t="s">
        <v>297</v>
      </c>
      <c r="C327" s="27" t="s">
        <v>820</v>
      </c>
      <c r="D327" s="26" t="s">
        <v>821</v>
      </c>
      <c r="E327" s="27">
        <v>1</v>
      </c>
      <c r="F327" s="42" t="s">
        <v>661</v>
      </c>
    </row>
    <row r="328" spans="2:6" ht="29" x14ac:dyDescent="0.35">
      <c r="B328" s="25" t="s">
        <v>297</v>
      </c>
      <c r="C328" s="27" t="s">
        <v>822</v>
      </c>
      <c r="D328" s="26" t="s">
        <v>823</v>
      </c>
      <c r="E328" s="27">
        <v>1</v>
      </c>
      <c r="F328" s="42" t="s">
        <v>658</v>
      </c>
    </row>
    <row r="329" spans="2:6" x14ac:dyDescent="0.35">
      <c r="B329" s="25" t="s">
        <v>297</v>
      </c>
      <c r="C329" s="27" t="s">
        <v>824</v>
      </c>
      <c r="D329" s="26" t="s">
        <v>825</v>
      </c>
      <c r="E329" s="27">
        <v>1</v>
      </c>
      <c r="F329" s="42" t="s">
        <v>655</v>
      </c>
    </row>
    <row r="330" spans="2:6" ht="29" x14ac:dyDescent="0.35">
      <c r="B330" s="25" t="s">
        <v>297</v>
      </c>
      <c r="C330" s="27" t="s">
        <v>826</v>
      </c>
      <c r="D330" s="26" t="s">
        <v>827</v>
      </c>
      <c r="E330" s="27">
        <v>1</v>
      </c>
      <c r="F330" s="42" t="s">
        <v>658</v>
      </c>
    </row>
    <row r="331" spans="2:6" ht="29" x14ac:dyDescent="0.35">
      <c r="B331" s="25" t="s">
        <v>297</v>
      </c>
      <c r="C331" s="27" t="s">
        <v>828</v>
      </c>
      <c r="D331" s="26" t="s">
        <v>829</v>
      </c>
      <c r="E331" s="27">
        <v>1</v>
      </c>
      <c r="F331" s="42" t="s">
        <v>658</v>
      </c>
    </row>
    <row r="332" spans="2:6" ht="29" x14ac:dyDescent="0.35">
      <c r="B332" s="25" t="s">
        <v>297</v>
      </c>
      <c r="C332" s="27" t="s">
        <v>830</v>
      </c>
      <c r="D332" s="26" t="s">
        <v>831</v>
      </c>
      <c r="E332" s="27">
        <v>1</v>
      </c>
      <c r="F332" s="42" t="s">
        <v>658</v>
      </c>
    </row>
    <row r="333" spans="2:6" ht="29" x14ac:dyDescent="0.35">
      <c r="B333" s="25" t="s">
        <v>297</v>
      </c>
      <c r="C333" s="27" t="s">
        <v>832</v>
      </c>
      <c r="D333" s="26" t="s">
        <v>833</v>
      </c>
      <c r="E333" s="27">
        <v>1</v>
      </c>
      <c r="F333" s="42" t="s">
        <v>658</v>
      </c>
    </row>
    <row r="334" spans="2:6" x14ac:dyDescent="0.35">
      <c r="B334" s="25" t="s">
        <v>297</v>
      </c>
      <c r="C334" s="27" t="s">
        <v>834</v>
      </c>
      <c r="D334" s="26" t="s">
        <v>835</v>
      </c>
      <c r="E334" s="27">
        <v>1</v>
      </c>
      <c r="F334" s="42" t="s">
        <v>655</v>
      </c>
    </row>
    <row r="335" spans="2:6" x14ac:dyDescent="0.35">
      <c r="B335" s="25" t="s">
        <v>297</v>
      </c>
      <c r="C335" s="27" t="s">
        <v>836</v>
      </c>
      <c r="D335" s="26" t="s">
        <v>837</v>
      </c>
      <c r="E335" s="27">
        <v>1</v>
      </c>
      <c r="F335" s="42" t="s">
        <v>658</v>
      </c>
    </row>
    <row r="336" spans="2:6" ht="29" x14ac:dyDescent="0.35">
      <c r="B336" s="25" t="s">
        <v>297</v>
      </c>
      <c r="C336" s="27" t="s">
        <v>838</v>
      </c>
      <c r="D336" s="26" t="s">
        <v>839</v>
      </c>
      <c r="E336" s="27">
        <v>1</v>
      </c>
      <c r="F336" s="42" t="s">
        <v>661</v>
      </c>
    </row>
    <row r="337" spans="2:6" ht="29" x14ac:dyDescent="0.35">
      <c r="B337" s="25" t="s">
        <v>297</v>
      </c>
      <c r="C337" s="27" t="s">
        <v>840</v>
      </c>
      <c r="D337" s="26" t="s">
        <v>841</v>
      </c>
      <c r="E337" s="27">
        <v>1</v>
      </c>
      <c r="F337" s="42" t="s">
        <v>664</v>
      </c>
    </row>
    <row r="338" spans="2:6" ht="29" x14ac:dyDescent="0.35">
      <c r="B338" s="25" t="s">
        <v>297</v>
      </c>
      <c r="C338" s="27" t="s">
        <v>842</v>
      </c>
      <c r="D338" s="26" t="s">
        <v>843</v>
      </c>
      <c r="E338" s="27">
        <v>1</v>
      </c>
      <c r="F338" s="42" t="s">
        <v>664</v>
      </c>
    </row>
    <row r="339" spans="2:6" ht="29" x14ac:dyDescent="0.35">
      <c r="B339" s="25" t="s">
        <v>297</v>
      </c>
      <c r="C339" s="27" t="s">
        <v>844</v>
      </c>
      <c r="D339" s="26" t="s">
        <v>845</v>
      </c>
      <c r="E339" s="27">
        <v>1</v>
      </c>
      <c r="F339" s="42" t="s">
        <v>664</v>
      </c>
    </row>
    <row r="340" spans="2:6" ht="29" x14ac:dyDescent="0.35">
      <c r="B340" s="25" t="s">
        <v>297</v>
      </c>
      <c r="C340" s="27" t="s">
        <v>846</v>
      </c>
      <c r="D340" s="26" t="s">
        <v>847</v>
      </c>
      <c r="E340" s="27">
        <v>1</v>
      </c>
      <c r="F340" s="42" t="s">
        <v>664</v>
      </c>
    </row>
    <row r="341" spans="2:6" x14ac:dyDescent="0.35">
      <c r="B341" s="25" t="s">
        <v>297</v>
      </c>
      <c r="C341" s="27" t="s">
        <v>848</v>
      </c>
      <c r="D341" s="26" t="s">
        <v>849</v>
      </c>
      <c r="E341" s="27">
        <v>1</v>
      </c>
      <c r="F341" s="42" t="s">
        <v>664</v>
      </c>
    </row>
    <row r="342" spans="2:6" ht="29" x14ac:dyDescent="0.35">
      <c r="B342" s="25" t="s">
        <v>297</v>
      </c>
      <c r="C342" s="27" t="s">
        <v>850</v>
      </c>
      <c r="D342" s="26" t="s">
        <v>851</v>
      </c>
      <c r="E342" s="27">
        <v>1</v>
      </c>
      <c r="F342" s="42" t="s">
        <v>661</v>
      </c>
    </row>
    <row r="343" spans="2:6" x14ac:dyDescent="0.35">
      <c r="B343" s="25" t="s">
        <v>297</v>
      </c>
      <c r="C343" s="27" t="s">
        <v>852</v>
      </c>
      <c r="D343" s="26" t="s">
        <v>853</v>
      </c>
      <c r="E343" s="27">
        <v>1</v>
      </c>
      <c r="F343" s="42" t="s">
        <v>661</v>
      </c>
    </row>
    <row r="344" spans="2:6" ht="29" x14ac:dyDescent="0.35">
      <c r="B344" s="25" t="s">
        <v>297</v>
      </c>
      <c r="C344" s="27" t="s">
        <v>854</v>
      </c>
      <c r="D344" s="26" t="s">
        <v>855</v>
      </c>
      <c r="E344" s="27">
        <v>1</v>
      </c>
      <c r="F344" s="42" t="s">
        <v>661</v>
      </c>
    </row>
    <row r="345" spans="2:6" x14ac:dyDescent="0.35">
      <c r="B345" s="25" t="s">
        <v>297</v>
      </c>
      <c r="C345" s="27" t="s">
        <v>856</v>
      </c>
      <c r="D345" s="26" t="s">
        <v>857</v>
      </c>
      <c r="E345" s="27">
        <v>1</v>
      </c>
      <c r="F345" s="42" t="s">
        <v>661</v>
      </c>
    </row>
    <row r="346" spans="2:6" x14ac:dyDescent="0.35">
      <c r="B346" s="25" t="s">
        <v>297</v>
      </c>
      <c r="C346" s="27" t="s">
        <v>858</v>
      </c>
      <c r="D346" s="26" t="s">
        <v>859</v>
      </c>
      <c r="E346" s="27">
        <v>1</v>
      </c>
      <c r="F346" s="42" t="s">
        <v>664</v>
      </c>
    </row>
    <row r="347" spans="2:6" x14ac:dyDescent="0.35">
      <c r="B347" s="25" t="s">
        <v>297</v>
      </c>
      <c r="C347" s="27" t="s">
        <v>860</v>
      </c>
      <c r="D347" s="26" t="s">
        <v>861</v>
      </c>
      <c r="E347" s="27">
        <v>1</v>
      </c>
      <c r="F347" s="42" t="s">
        <v>664</v>
      </c>
    </row>
    <row r="348" spans="2:6" x14ac:dyDescent="0.35">
      <c r="B348" s="25" t="s">
        <v>297</v>
      </c>
      <c r="C348" s="27" t="s">
        <v>862</v>
      </c>
      <c r="D348" s="26" t="s">
        <v>863</v>
      </c>
      <c r="E348" s="27">
        <v>1</v>
      </c>
      <c r="F348" s="42" t="s">
        <v>664</v>
      </c>
    </row>
    <row r="349" spans="2:6" x14ac:dyDescent="0.35">
      <c r="B349" s="25" t="s">
        <v>297</v>
      </c>
      <c r="C349" s="27" t="s">
        <v>864</v>
      </c>
      <c r="D349" s="26" t="s">
        <v>865</v>
      </c>
      <c r="E349" s="27">
        <v>1</v>
      </c>
      <c r="F349" s="42" t="s">
        <v>661</v>
      </c>
    </row>
    <row r="350" spans="2:6" x14ac:dyDescent="0.35">
      <c r="B350" s="25" t="s">
        <v>297</v>
      </c>
      <c r="C350" s="27" t="s">
        <v>866</v>
      </c>
      <c r="D350" s="26" t="s">
        <v>867</v>
      </c>
      <c r="E350" s="27">
        <v>1</v>
      </c>
      <c r="F350" s="42" t="s">
        <v>661</v>
      </c>
    </row>
    <row r="351" spans="2:6" x14ac:dyDescent="0.35">
      <c r="B351" s="25" t="s">
        <v>297</v>
      </c>
      <c r="C351" s="27" t="s">
        <v>868</v>
      </c>
      <c r="D351" s="26" t="s">
        <v>869</v>
      </c>
      <c r="E351" s="27">
        <v>1</v>
      </c>
      <c r="F351" s="42" t="s">
        <v>658</v>
      </c>
    </row>
    <row r="352" spans="2:6" x14ac:dyDescent="0.35">
      <c r="B352" s="25" t="s">
        <v>297</v>
      </c>
      <c r="C352" s="27" t="s">
        <v>870</v>
      </c>
      <c r="D352" s="26" t="s">
        <v>871</v>
      </c>
      <c r="E352" s="27">
        <v>1</v>
      </c>
      <c r="F352" s="42" t="s">
        <v>658</v>
      </c>
    </row>
    <row r="353" spans="2:6" x14ac:dyDescent="0.35">
      <c r="B353" s="25" t="s">
        <v>297</v>
      </c>
      <c r="C353" s="27" t="s">
        <v>872</v>
      </c>
      <c r="D353" s="26" t="s">
        <v>873</v>
      </c>
      <c r="E353" s="27">
        <v>1</v>
      </c>
      <c r="F353" s="42" t="s">
        <v>658</v>
      </c>
    </row>
    <row r="354" spans="2:6" ht="43.5" x14ac:dyDescent="0.35">
      <c r="B354" s="25" t="s">
        <v>297</v>
      </c>
      <c r="C354" s="27" t="s">
        <v>874</v>
      </c>
      <c r="D354" s="26" t="s">
        <v>875</v>
      </c>
      <c r="E354" s="27">
        <v>1</v>
      </c>
      <c r="F354" s="42" t="s">
        <v>658</v>
      </c>
    </row>
    <row r="355" spans="2:6" x14ac:dyDescent="0.35">
      <c r="B355" s="25" t="s">
        <v>297</v>
      </c>
      <c r="C355" s="27" t="s">
        <v>876</v>
      </c>
      <c r="D355" s="26" t="s">
        <v>877</v>
      </c>
      <c r="E355" s="27">
        <v>1</v>
      </c>
      <c r="F355" s="42" t="s">
        <v>658</v>
      </c>
    </row>
    <row r="356" spans="2:6" ht="29" x14ac:dyDescent="0.35">
      <c r="B356" s="25" t="s">
        <v>297</v>
      </c>
      <c r="C356" s="27" t="s">
        <v>878</v>
      </c>
      <c r="D356" s="26" t="s">
        <v>879</v>
      </c>
      <c r="E356" s="27">
        <v>1</v>
      </c>
      <c r="F356" s="42" t="s">
        <v>658</v>
      </c>
    </row>
    <row r="357" spans="2:6" x14ac:dyDescent="0.35">
      <c r="B357" s="25" t="s">
        <v>297</v>
      </c>
      <c r="C357" s="27" t="s">
        <v>880</v>
      </c>
      <c r="D357" s="26" t="s">
        <v>881</v>
      </c>
      <c r="E357" s="27">
        <v>1</v>
      </c>
      <c r="F357" s="42" t="s">
        <v>658</v>
      </c>
    </row>
    <row r="358" spans="2:6" x14ac:dyDescent="0.35">
      <c r="B358" s="25" t="s">
        <v>297</v>
      </c>
      <c r="C358" s="27" t="s">
        <v>882</v>
      </c>
      <c r="D358" s="26" t="s">
        <v>883</v>
      </c>
      <c r="E358" s="27">
        <v>1</v>
      </c>
      <c r="F358" s="42" t="s">
        <v>658</v>
      </c>
    </row>
    <row r="359" spans="2:6" ht="29" x14ac:dyDescent="0.35">
      <c r="B359" s="25" t="s">
        <v>297</v>
      </c>
      <c r="C359" s="27" t="s">
        <v>884</v>
      </c>
      <c r="D359" s="26" t="s">
        <v>885</v>
      </c>
      <c r="E359" s="27">
        <v>1</v>
      </c>
      <c r="F359" s="42" t="s">
        <v>658</v>
      </c>
    </row>
    <row r="360" spans="2:6" ht="29" x14ac:dyDescent="0.35">
      <c r="B360" s="25" t="s">
        <v>297</v>
      </c>
      <c r="C360" s="27" t="s">
        <v>886</v>
      </c>
      <c r="D360" s="26" t="s">
        <v>887</v>
      </c>
      <c r="E360" s="27">
        <v>1</v>
      </c>
      <c r="F360" s="42" t="s">
        <v>658</v>
      </c>
    </row>
    <row r="361" spans="2:6" x14ac:dyDescent="0.35">
      <c r="B361" s="25" t="s">
        <v>297</v>
      </c>
      <c r="C361" s="27" t="s">
        <v>888</v>
      </c>
      <c r="D361" s="26" t="s">
        <v>889</v>
      </c>
      <c r="E361" s="27">
        <v>1</v>
      </c>
      <c r="F361" s="42" t="s">
        <v>658</v>
      </c>
    </row>
    <row r="362" spans="2:6" x14ac:dyDescent="0.35">
      <c r="B362" s="25" t="s">
        <v>297</v>
      </c>
      <c r="C362" s="27" t="s">
        <v>890</v>
      </c>
      <c r="D362" s="26" t="s">
        <v>891</v>
      </c>
      <c r="E362" s="27">
        <v>1</v>
      </c>
      <c r="F362" s="42" t="s">
        <v>658</v>
      </c>
    </row>
    <row r="363" spans="2:6" x14ac:dyDescent="0.35">
      <c r="B363" s="25" t="s">
        <v>297</v>
      </c>
      <c r="C363" s="27" t="s">
        <v>892</v>
      </c>
      <c r="D363" s="26" t="s">
        <v>893</v>
      </c>
      <c r="E363" s="27">
        <v>1</v>
      </c>
      <c r="F363" s="42" t="s">
        <v>658</v>
      </c>
    </row>
    <row r="364" spans="2:6" x14ac:dyDescent="0.35">
      <c r="B364" s="25" t="s">
        <v>297</v>
      </c>
      <c r="C364" s="27" t="s">
        <v>894</v>
      </c>
      <c r="D364" s="26" t="s">
        <v>895</v>
      </c>
      <c r="E364" s="27">
        <v>1</v>
      </c>
      <c r="F364" s="42" t="s">
        <v>658</v>
      </c>
    </row>
    <row r="365" spans="2:6" ht="29" x14ac:dyDescent="0.35">
      <c r="B365" s="25" t="s">
        <v>297</v>
      </c>
      <c r="C365" s="27" t="s">
        <v>896</v>
      </c>
      <c r="D365" s="26" t="s">
        <v>897</v>
      </c>
      <c r="E365" s="27">
        <v>1</v>
      </c>
      <c r="F365" s="42" t="s">
        <v>658</v>
      </c>
    </row>
    <row r="366" spans="2:6" x14ac:dyDescent="0.35">
      <c r="B366" s="25" t="s">
        <v>297</v>
      </c>
      <c r="C366" s="27" t="s">
        <v>898</v>
      </c>
      <c r="D366" s="26" t="s">
        <v>899</v>
      </c>
      <c r="E366" s="27">
        <v>1</v>
      </c>
      <c r="F366" s="42" t="s">
        <v>658</v>
      </c>
    </row>
    <row r="367" spans="2:6" ht="29" x14ac:dyDescent="0.35">
      <c r="B367" s="25" t="s">
        <v>297</v>
      </c>
      <c r="C367" s="27" t="s">
        <v>900</v>
      </c>
      <c r="D367" s="26" t="s">
        <v>901</v>
      </c>
      <c r="E367" s="27">
        <v>1</v>
      </c>
      <c r="F367" s="42" t="s">
        <v>658</v>
      </c>
    </row>
    <row r="368" spans="2:6" ht="29" x14ac:dyDescent="0.35">
      <c r="B368" s="25" t="s">
        <v>297</v>
      </c>
      <c r="C368" s="27" t="s">
        <v>902</v>
      </c>
      <c r="D368" s="26" t="s">
        <v>903</v>
      </c>
      <c r="E368" s="27">
        <v>1</v>
      </c>
      <c r="F368" s="42" t="s">
        <v>658</v>
      </c>
    </row>
    <row r="369" spans="2:6" x14ac:dyDescent="0.35">
      <c r="B369" s="25" t="s">
        <v>297</v>
      </c>
      <c r="C369" s="27" t="s">
        <v>904</v>
      </c>
      <c r="D369" s="26" t="s">
        <v>905</v>
      </c>
      <c r="E369" s="27">
        <v>1</v>
      </c>
      <c r="F369" s="42" t="s">
        <v>658</v>
      </c>
    </row>
    <row r="370" spans="2:6" ht="29" x14ac:dyDescent="0.35">
      <c r="B370" s="25" t="s">
        <v>297</v>
      </c>
      <c r="C370" s="27" t="s">
        <v>906</v>
      </c>
      <c r="D370" s="26" t="s">
        <v>907</v>
      </c>
      <c r="E370" s="27">
        <v>1</v>
      </c>
      <c r="F370" s="42" t="s">
        <v>658</v>
      </c>
    </row>
    <row r="371" spans="2:6" ht="29" x14ac:dyDescent="0.35">
      <c r="B371" s="25" t="s">
        <v>297</v>
      </c>
      <c r="C371" s="27" t="s">
        <v>908</v>
      </c>
      <c r="D371" s="26" t="s">
        <v>909</v>
      </c>
      <c r="E371" s="27">
        <v>1</v>
      </c>
      <c r="F371" s="42" t="s">
        <v>658</v>
      </c>
    </row>
    <row r="372" spans="2:6" x14ac:dyDescent="0.35">
      <c r="B372" s="25" t="s">
        <v>297</v>
      </c>
      <c r="C372" s="27" t="s">
        <v>910</v>
      </c>
      <c r="D372" s="26" t="s">
        <v>911</v>
      </c>
      <c r="E372" s="27">
        <v>1</v>
      </c>
      <c r="F372" s="42" t="s">
        <v>658</v>
      </c>
    </row>
    <row r="373" spans="2:6" x14ac:dyDescent="0.35">
      <c r="B373" s="25" t="s">
        <v>297</v>
      </c>
      <c r="C373" s="27" t="s">
        <v>912</v>
      </c>
      <c r="D373" s="26" t="s">
        <v>913</v>
      </c>
      <c r="E373" s="27">
        <v>1</v>
      </c>
      <c r="F373" s="42" t="s">
        <v>658</v>
      </c>
    </row>
    <row r="374" spans="2:6" x14ac:dyDescent="0.35">
      <c r="B374" s="25" t="s">
        <v>297</v>
      </c>
      <c r="C374" s="27" t="s">
        <v>914</v>
      </c>
      <c r="D374" s="26" t="s">
        <v>915</v>
      </c>
      <c r="E374" s="27">
        <v>1</v>
      </c>
      <c r="F374" s="42" t="s">
        <v>658</v>
      </c>
    </row>
    <row r="375" spans="2:6" x14ac:dyDescent="0.35">
      <c r="B375" s="25" t="s">
        <v>297</v>
      </c>
      <c r="C375" s="27" t="s">
        <v>916</v>
      </c>
      <c r="D375" s="26" t="s">
        <v>917</v>
      </c>
      <c r="E375" s="27">
        <v>1</v>
      </c>
      <c r="F375" s="42" t="s">
        <v>658</v>
      </c>
    </row>
    <row r="376" spans="2:6" x14ac:dyDescent="0.35">
      <c r="B376" s="25" t="s">
        <v>297</v>
      </c>
      <c r="C376" s="27" t="s">
        <v>918</v>
      </c>
      <c r="D376" s="26" t="s">
        <v>919</v>
      </c>
      <c r="E376" s="27">
        <v>1</v>
      </c>
      <c r="F376" s="42" t="s">
        <v>658</v>
      </c>
    </row>
    <row r="377" spans="2:6" ht="29" x14ac:dyDescent="0.35">
      <c r="B377" s="25" t="s">
        <v>297</v>
      </c>
      <c r="C377" s="27" t="s">
        <v>920</v>
      </c>
      <c r="D377" s="26" t="s">
        <v>921</v>
      </c>
      <c r="E377" s="27">
        <v>1</v>
      </c>
      <c r="F377" s="42" t="s">
        <v>658</v>
      </c>
    </row>
    <row r="378" spans="2:6" x14ac:dyDescent="0.35">
      <c r="B378" s="25" t="s">
        <v>297</v>
      </c>
      <c r="C378" s="27" t="s">
        <v>922</v>
      </c>
      <c r="D378" s="26" t="s">
        <v>923</v>
      </c>
      <c r="E378" s="27">
        <v>1</v>
      </c>
      <c r="F378" s="42" t="s">
        <v>661</v>
      </c>
    </row>
    <row r="379" spans="2:6" ht="29" x14ac:dyDescent="0.35">
      <c r="B379" s="25" t="s">
        <v>297</v>
      </c>
      <c r="C379" s="27" t="s">
        <v>924</v>
      </c>
      <c r="D379" s="26" t="s">
        <v>925</v>
      </c>
      <c r="E379" s="27">
        <v>1</v>
      </c>
      <c r="F379" s="42" t="s">
        <v>661</v>
      </c>
    </row>
    <row r="380" spans="2:6" ht="29" x14ac:dyDescent="0.35">
      <c r="B380" s="25" t="s">
        <v>297</v>
      </c>
      <c r="C380" s="27" t="s">
        <v>926</v>
      </c>
      <c r="D380" s="26" t="s">
        <v>927</v>
      </c>
      <c r="E380" s="27">
        <v>1</v>
      </c>
      <c r="F380" s="42" t="s">
        <v>658</v>
      </c>
    </row>
    <row r="381" spans="2:6" x14ac:dyDescent="0.35">
      <c r="B381" s="25" t="s">
        <v>297</v>
      </c>
      <c r="C381" s="27" t="s">
        <v>928</v>
      </c>
      <c r="D381" s="26" t="s">
        <v>929</v>
      </c>
      <c r="E381" s="27">
        <v>1</v>
      </c>
      <c r="F381" s="42" t="s">
        <v>655</v>
      </c>
    </row>
    <row r="382" spans="2:6" ht="29" x14ac:dyDescent="0.35">
      <c r="B382" s="25" t="s">
        <v>297</v>
      </c>
      <c r="C382" s="27" t="s">
        <v>930</v>
      </c>
      <c r="D382" s="26" t="s">
        <v>931</v>
      </c>
      <c r="E382" s="27">
        <v>1</v>
      </c>
      <c r="F382" s="42" t="s">
        <v>658</v>
      </c>
    </row>
    <row r="383" spans="2:6" ht="29" x14ac:dyDescent="0.35">
      <c r="B383" s="25" t="s">
        <v>297</v>
      </c>
      <c r="C383" s="27" t="s">
        <v>932</v>
      </c>
      <c r="D383" s="26" t="s">
        <v>933</v>
      </c>
      <c r="E383" s="27">
        <v>1</v>
      </c>
      <c r="F383" s="42" t="s">
        <v>658</v>
      </c>
    </row>
    <row r="384" spans="2:6" ht="29" x14ac:dyDescent="0.35">
      <c r="B384" s="25" t="s">
        <v>297</v>
      </c>
      <c r="C384" s="27" t="s">
        <v>934</v>
      </c>
      <c r="D384" s="26" t="s">
        <v>935</v>
      </c>
      <c r="E384" s="27">
        <v>1</v>
      </c>
      <c r="F384" s="42" t="s">
        <v>658</v>
      </c>
    </row>
    <row r="385" spans="2:6" x14ac:dyDescent="0.35">
      <c r="B385" s="25" t="s">
        <v>297</v>
      </c>
      <c r="C385" s="27" t="s">
        <v>936</v>
      </c>
      <c r="D385" s="26" t="s">
        <v>937</v>
      </c>
      <c r="E385" s="27">
        <v>1</v>
      </c>
      <c r="F385" s="42" t="s">
        <v>658</v>
      </c>
    </row>
    <row r="386" spans="2:6" ht="29" x14ac:dyDescent="0.35">
      <c r="B386" s="25" t="s">
        <v>297</v>
      </c>
      <c r="C386" s="27" t="s">
        <v>938</v>
      </c>
      <c r="D386" s="26" t="s">
        <v>939</v>
      </c>
      <c r="E386" s="27">
        <v>1</v>
      </c>
      <c r="F386" s="42" t="s">
        <v>658</v>
      </c>
    </row>
    <row r="387" spans="2:6" x14ac:dyDescent="0.35">
      <c r="B387" s="25" t="s">
        <v>297</v>
      </c>
      <c r="C387" s="27" t="s">
        <v>940</v>
      </c>
      <c r="D387" s="26" t="s">
        <v>941</v>
      </c>
      <c r="E387" s="27">
        <v>1</v>
      </c>
      <c r="F387" s="42" t="s">
        <v>661</v>
      </c>
    </row>
    <row r="388" spans="2:6" ht="29" x14ac:dyDescent="0.35">
      <c r="B388" s="25" t="s">
        <v>297</v>
      </c>
      <c r="C388" s="27" t="s">
        <v>942</v>
      </c>
      <c r="D388" s="26" t="s">
        <v>943</v>
      </c>
      <c r="E388" s="27">
        <v>1</v>
      </c>
      <c r="F388" s="42" t="s">
        <v>661</v>
      </c>
    </row>
    <row r="389" spans="2:6" ht="29" x14ac:dyDescent="0.35">
      <c r="B389" s="25" t="s">
        <v>297</v>
      </c>
      <c r="C389" s="27" t="s">
        <v>944</v>
      </c>
      <c r="D389" s="26" t="s">
        <v>945</v>
      </c>
      <c r="E389" s="27">
        <v>1</v>
      </c>
      <c r="F389" s="42" t="s">
        <v>658</v>
      </c>
    </row>
    <row r="390" spans="2:6" x14ac:dyDescent="0.35">
      <c r="B390" s="25" t="s">
        <v>297</v>
      </c>
      <c r="C390" s="27" t="s">
        <v>946</v>
      </c>
      <c r="D390" s="26" t="s">
        <v>947</v>
      </c>
      <c r="E390" s="27">
        <v>1</v>
      </c>
      <c r="F390" s="42" t="s">
        <v>655</v>
      </c>
    </row>
    <row r="391" spans="2:6" ht="29" x14ac:dyDescent="0.35">
      <c r="B391" s="25" t="s">
        <v>297</v>
      </c>
      <c r="C391" s="27" t="s">
        <v>948</v>
      </c>
      <c r="D391" s="26" t="s">
        <v>949</v>
      </c>
      <c r="E391" s="27">
        <v>1</v>
      </c>
      <c r="F391" s="42" t="s">
        <v>658</v>
      </c>
    </row>
    <row r="392" spans="2:6" x14ac:dyDescent="0.35">
      <c r="B392" s="25" t="s">
        <v>297</v>
      </c>
      <c r="C392" s="27" t="s">
        <v>950</v>
      </c>
      <c r="D392" s="26" t="s">
        <v>951</v>
      </c>
      <c r="E392" s="27">
        <v>1</v>
      </c>
      <c r="F392" s="42" t="s">
        <v>661</v>
      </c>
    </row>
    <row r="393" spans="2:6" x14ac:dyDescent="0.35">
      <c r="B393" s="25" t="s">
        <v>297</v>
      </c>
      <c r="C393" s="27" t="s">
        <v>952</v>
      </c>
      <c r="D393" s="26" t="s">
        <v>953</v>
      </c>
      <c r="E393" s="27">
        <v>1</v>
      </c>
      <c r="F393" s="42" t="s">
        <v>664</v>
      </c>
    </row>
    <row r="394" spans="2:6" x14ac:dyDescent="0.35">
      <c r="B394" s="25" t="s">
        <v>297</v>
      </c>
      <c r="C394" s="27" t="s">
        <v>954</v>
      </c>
      <c r="D394" s="26" t="s">
        <v>955</v>
      </c>
      <c r="E394" s="27">
        <v>1</v>
      </c>
      <c r="F394" s="42" t="s">
        <v>664</v>
      </c>
    </row>
    <row r="395" spans="2:6" x14ac:dyDescent="0.35">
      <c r="B395" s="25" t="s">
        <v>297</v>
      </c>
      <c r="C395" s="27" t="s">
        <v>956</v>
      </c>
      <c r="D395" s="26" t="s">
        <v>957</v>
      </c>
      <c r="E395" s="27">
        <v>1</v>
      </c>
      <c r="F395" s="42" t="s">
        <v>664</v>
      </c>
    </row>
    <row r="396" spans="2:6" x14ac:dyDescent="0.35">
      <c r="B396" s="25" t="s">
        <v>297</v>
      </c>
      <c r="C396" s="27" t="s">
        <v>958</v>
      </c>
      <c r="D396" s="26" t="s">
        <v>959</v>
      </c>
      <c r="E396" s="27">
        <v>1</v>
      </c>
      <c r="F396" s="42" t="s">
        <v>664</v>
      </c>
    </row>
    <row r="397" spans="2:6" x14ac:dyDescent="0.35">
      <c r="B397" s="25" t="s">
        <v>297</v>
      </c>
      <c r="C397" s="27" t="s">
        <v>960</v>
      </c>
      <c r="D397" s="26" t="s">
        <v>961</v>
      </c>
      <c r="E397" s="27">
        <v>1</v>
      </c>
      <c r="F397" s="42" t="s">
        <v>664</v>
      </c>
    </row>
    <row r="398" spans="2:6" x14ac:dyDescent="0.35">
      <c r="B398" s="25" t="s">
        <v>297</v>
      </c>
      <c r="C398" s="27" t="s">
        <v>962</v>
      </c>
      <c r="D398" s="26" t="s">
        <v>963</v>
      </c>
      <c r="E398" s="27">
        <v>1</v>
      </c>
      <c r="F398" s="42" t="s">
        <v>661</v>
      </c>
    </row>
    <row r="399" spans="2:6" x14ac:dyDescent="0.35">
      <c r="B399" s="25" t="s">
        <v>297</v>
      </c>
      <c r="C399" s="27" t="s">
        <v>964</v>
      </c>
      <c r="D399" s="26" t="s">
        <v>965</v>
      </c>
      <c r="E399" s="27">
        <v>1</v>
      </c>
      <c r="F399" s="42" t="s">
        <v>664</v>
      </c>
    </row>
    <row r="400" spans="2:6" x14ac:dyDescent="0.35">
      <c r="B400" s="25" t="s">
        <v>297</v>
      </c>
      <c r="C400" s="27" t="s">
        <v>966</v>
      </c>
      <c r="D400" s="26" t="s">
        <v>967</v>
      </c>
      <c r="E400" s="27">
        <v>1</v>
      </c>
      <c r="F400" s="42" t="s">
        <v>664</v>
      </c>
    </row>
    <row r="401" spans="2:6" x14ac:dyDescent="0.35">
      <c r="B401" s="25" t="s">
        <v>297</v>
      </c>
      <c r="C401" s="27" t="s">
        <v>968</v>
      </c>
      <c r="D401" s="26" t="s">
        <v>969</v>
      </c>
      <c r="E401" s="27">
        <v>1</v>
      </c>
      <c r="F401" s="42" t="s">
        <v>664</v>
      </c>
    </row>
    <row r="402" spans="2:6" x14ac:dyDescent="0.35">
      <c r="B402" s="25" t="s">
        <v>297</v>
      </c>
      <c r="C402" s="27" t="s">
        <v>970</v>
      </c>
      <c r="D402" s="26" t="s">
        <v>971</v>
      </c>
      <c r="E402" s="27">
        <v>1</v>
      </c>
      <c r="F402" s="42" t="s">
        <v>661</v>
      </c>
    </row>
    <row r="403" spans="2:6" ht="43.5" x14ac:dyDescent="0.35">
      <c r="B403" s="25" t="s">
        <v>297</v>
      </c>
      <c r="C403" s="27" t="s">
        <v>972</v>
      </c>
      <c r="D403" s="26" t="s">
        <v>973</v>
      </c>
      <c r="E403" s="27">
        <v>1</v>
      </c>
      <c r="F403" s="42" t="s">
        <v>658</v>
      </c>
    </row>
    <row r="404" spans="2:6" ht="29" x14ac:dyDescent="0.35">
      <c r="B404" s="25" t="s">
        <v>297</v>
      </c>
      <c r="C404" s="27" t="s">
        <v>974</v>
      </c>
      <c r="D404" s="26" t="s">
        <v>975</v>
      </c>
      <c r="E404" s="27">
        <v>1</v>
      </c>
      <c r="F404" s="42" t="s">
        <v>661</v>
      </c>
    </row>
    <row r="405" spans="2:6" ht="29" x14ac:dyDescent="0.35">
      <c r="B405" s="25" t="s">
        <v>297</v>
      </c>
      <c r="C405" s="27" t="s">
        <v>976</v>
      </c>
      <c r="D405" s="26" t="s">
        <v>977</v>
      </c>
      <c r="E405" s="27">
        <v>1</v>
      </c>
      <c r="F405" s="42" t="s">
        <v>664</v>
      </c>
    </row>
    <row r="406" spans="2:6" x14ac:dyDescent="0.35">
      <c r="B406" s="25" t="s">
        <v>297</v>
      </c>
      <c r="C406" s="27" t="s">
        <v>978</v>
      </c>
      <c r="D406" s="26" t="s">
        <v>979</v>
      </c>
      <c r="E406" s="27">
        <v>1</v>
      </c>
      <c r="F406" s="42" t="s">
        <v>664</v>
      </c>
    </row>
    <row r="407" spans="2:6" x14ac:dyDescent="0.35">
      <c r="B407" s="25" t="s">
        <v>297</v>
      </c>
      <c r="C407" s="27" t="s">
        <v>980</v>
      </c>
      <c r="D407" s="26" t="s">
        <v>981</v>
      </c>
      <c r="E407" s="27">
        <v>1</v>
      </c>
      <c r="F407" s="42" t="s">
        <v>664</v>
      </c>
    </row>
    <row r="408" spans="2:6" x14ac:dyDescent="0.35">
      <c r="B408" s="25" t="s">
        <v>297</v>
      </c>
      <c r="C408" s="27" t="s">
        <v>982</v>
      </c>
      <c r="D408" s="26" t="s">
        <v>983</v>
      </c>
      <c r="E408" s="27">
        <v>1</v>
      </c>
      <c r="F408" s="42" t="s">
        <v>664</v>
      </c>
    </row>
    <row r="409" spans="2:6" x14ac:dyDescent="0.35">
      <c r="B409" s="25" t="s">
        <v>297</v>
      </c>
      <c r="C409" s="27" t="s">
        <v>984</v>
      </c>
      <c r="D409" s="26" t="s">
        <v>985</v>
      </c>
      <c r="E409" s="27">
        <v>1</v>
      </c>
      <c r="F409" s="42" t="s">
        <v>664</v>
      </c>
    </row>
    <row r="410" spans="2:6" x14ac:dyDescent="0.35">
      <c r="B410" s="25" t="s">
        <v>297</v>
      </c>
      <c r="C410" s="27" t="s">
        <v>986</v>
      </c>
      <c r="D410" s="26" t="s">
        <v>987</v>
      </c>
      <c r="E410" s="27">
        <v>1</v>
      </c>
      <c r="F410" s="42" t="s">
        <v>661</v>
      </c>
    </row>
    <row r="411" spans="2:6" x14ac:dyDescent="0.35">
      <c r="B411" s="25" t="s">
        <v>297</v>
      </c>
      <c r="C411" s="27" t="s">
        <v>988</v>
      </c>
      <c r="D411" s="26" t="s">
        <v>989</v>
      </c>
      <c r="E411" s="27">
        <v>1</v>
      </c>
      <c r="F411" s="42" t="s">
        <v>664</v>
      </c>
    </row>
    <row r="412" spans="2:6" ht="29" x14ac:dyDescent="0.35">
      <c r="B412" s="25" t="s">
        <v>297</v>
      </c>
      <c r="C412" s="27" t="s">
        <v>990</v>
      </c>
      <c r="D412" s="26" t="s">
        <v>991</v>
      </c>
      <c r="E412" s="27">
        <v>1</v>
      </c>
      <c r="F412" s="42" t="s">
        <v>664</v>
      </c>
    </row>
    <row r="413" spans="2:6" x14ac:dyDescent="0.35">
      <c r="B413" s="25" t="s">
        <v>297</v>
      </c>
      <c r="C413" s="27" t="s">
        <v>992</v>
      </c>
      <c r="D413" s="26" t="s">
        <v>993</v>
      </c>
      <c r="E413" s="27">
        <v>1</v>
      </c>
      <c r="F413" s="42" t="s">
        <v>664</v>
      </c>
    </row>
    <row r="414" spans="2:6" ht="29" x14ac:dyDescent="0.35">
      <c r="B414" s="25" t="s">
        <v>297</v>
      </c>
      <c r="C414" s="27" t="s">
        <v>994</v>
      </c>
      <c r="D414" s="26" t="s">
        <v>995</v>
      </c>
      <c r="E414" s="27">
        <v>1</v>
      </c>
      <c r="F414" s="42" t="s">
        <v>658</v>
      </c>
    </row>
    <row r="415" spans="2:6" x14ac:dyDescent="0.35">
      <c r="B415" s="25" t="s">
        <v>297</v>
      </c>
      <c r="C415" s="27" t="s">
        <v>996</v>
      </c>
      <c r="D415" s="26" t="s">
        <v>997</v>
      </c>
      <c r="E415" s="27">
        <v>1</v>
      </c>
      <c r="F415" s="42" t="s">
        <v>661</v>
      </c>
    </row>
    <row r="416" spans="2:6" x14ac:dyDescent="0.35">
      <c r="B416" s="25" t="s">
        <v>297</v>
      </c>
      <c r="C416" s="27" t="s">
        <v>998</v>
      </c>
      <c r="D416" s="26" t="s">
        <v>999</v>
      </c>
      <c r="E416" s="27">
        <v>1</v>
      </c>
      <c r="F416" s="42" t="s">
        <v>661</v>
      </c>
    </row>
    <row r="417" spans="2:6" x14ac:dyDescent="0.35">
      <c r="B417" s="25" t="s">
        <v>297</v>
      </c>
      <c r="C417" s="27" t="s">
        <v>1000</v>
      </c>
      <c r="D417" s="26" t="s">
        <v>1001</v>
      </c>
      <c r="E417" s="27">
        <v>1</v>
      </c>
      <c r="F417" s="42" t="s">
        <v>661</v>
      </c>
    </row>
    <row r="418" spans="2:6" ht="29" x14ac:dyDescent="0.35">
      <c r="B418" s="25" t="s">
        <v>297</v>
      </c>
      <c r="C418" s="27" t="s">
        <v>1002</v>
      </c>
      <c r="D418" s="26" t="s">
        <v>1003</v>
      </c>
      <c r="E418" s="27">
        <v>1</v>
      </c>
      <c r="F418" s="42" t="s">
        <v>658</v>
      </c>
    </row>
    <row r="419" spans="2:6" x14ac:dyDescent="0.35">
      <c r="B419" s="25" t="s">
        <v>297</v>
      </c>
      <c r="C419" s="27" t="s">
        <v>1004</v>
      </c>
      <c r="D419" s="26" t="s">
        <v>1005</v>
      </c>
      <c r="E419" s="27">
        <v>1</v>
      </c>
      <c r="F419" s="42" t="s">
        <v>661</v>
      </c>
    </row>
    <row r="420" spans="2:6" x14ac:dyDescent="0.35">
      <c r="B420" s="25" t="s">
        <v>297</v>
      </c>
      <c r="C420" s="27" t="s">
        <v>1006</v>
      </c>
      <c r="D420" s="26" t="s">
        <v>1007</v>
      </c>
      <c r="E420" s="27">
        <v>1</v>
      </c>
      <c r="F420" s="42" t="s">
        <v>661</v>
      </c>
    </row>
    <row r="421" spans="2:6" x14ac:dyDescent="0.35">
      <c r="B421" s="25" t="s">
        <v>297</v>
      </c>
      <c r="C421" s="27" t="s">
        <v>1008</v>
      </c>
      <c r="D421" s="26" t="s">
        <v>1009</v>
      </c>
      <c r="E421" s="27">
        <v>1</v>
      </c>
      <c r="F421" s="42" t="s">
        <v>661</v>
      </c>
    </row>
    <row r="422" spans="2:6" ht="29" x14ac:dyDescent="0.35">
      <c r="B422" s="25" t="s">
        <v>297</v>
      </c>
      <c r="C422" s="27" t="s">
        <v>1010</v>
      </c>
      <c r="D422" s="26" t="s">
        <v>1011</v>
      </c>
      <c r="E422" s="27">
        <v>1</v>
      </c>
      <c r="F422" s="42" t="s">
        <v>658</v>
      </c>
    </row>
    <row r="423" spans="2:6" x14ac:dyDescent="0.35">
      <c r="B423" s="25" t="s">
        <v>297</v>
      </c>
      <c r="C423" s="27" t="s">
        <v>1012</v>
      </c>
      <c r="D423" s="26" t="s">
        <v>1013</v>
      </c>
      <c r="E423" s="27">
        <v>1</v>
      </c>
      <c r="F423" s="42" t="s">
        <v>655</v>
      </c>
    </row>
    <row r="424" spans="2:6" ht="29" x14ac:dyDescent="0.35">
      <c r="B424" s="25" t="s">
        <v>297</v>
      </c>
      <c r="C424" s="27" t="s">
        <v>1014</v>
      </c>
      <c r="D424" s="26" t="s">
        <v>1015</v>
      </c>
      <c r="E424" s="27">
        <v>1</v>
      </c>
      <c r="F424" s="42" t="s">
        <v>658</v>
      </c>
    </row>
    <row r="425" spans="2:6" ht="29" x14ac:dyDescent="0.35">
      <c r="B425" s="25" t="s">
        <v>297</v>
      </c>
      <c r="C425" s="27" t="s">
        <v>1016</v>
      </c>
      <c r="D425" s="26" t="s">
        <v>1017</v>
      </c>
      <c r="E425" s="27">
        <v>1</v>
      </c>
      <c r="F425" s="42" t="s">
        <v>658</v>
      </c>
    </row>
    <row r="426" spans="2:6" ht="29" x14ac:dyDescent="0.35">
      <c r="B426" s="25" t="s">
        <v>297</v>
      </c>
      <c r="C426" s="27" t="s">
        <v>1018</v>
      </c>
      <c r="D426" s="26" t="s">
        <v>1019</v>
      </c>
      <c r="E426" s="27">
        <v>1</v>
      </c>
      <c r="F426" s="42" t="s">
        <v>658</v>
      </c>
    </row>
    <row r="427" spans="2:6" x14ac:dyDescent="0.35">
      <c r="B427" s="25" t="s">
        <v>297</v>
      </c>
      <c r="C427" s="27" t="s">
        <v>1020</v>
      </c>
      <c r="D427" s="26" t="s">
        <v>1021</v>
      </c>
      <c r="E427" s="27">
        <v>1</v>
      </c>
      <c r="F427" s="42" t="s">
        <v>658</v>
      </c>
    </row>
    <row r="428" spans="2:6" x14ac:dyDescent="0.35">
      <c r="B428" s="25" t="s">
        <v>297</v>
      </c>
      <c r="C428" s="27" t="s">
        <v>1022</v>
      </c>
      <c r="D428" s="26" t="s">
        <v>1023</v>
      </c>
      <c r="E428" s="27">
        <v>1</v>
      </c>
      <c r="F428" s="42" t="s">
        <v>658</v>
      </c>
    </row>
    <row r="429" spans="2:6" ht="29" x14ac:dyDescent="0.35">
      <c r="B429" s="25" t="s">
        <v>297</v>
      </c>
      <c r="C429" s="27" t="s">
        <v>1024</v>
      </c>
      <c r="D429" s="26" t="s">
        <v>1025</v>
      </c>
      <c r="E429" s="27">
        <v>1</v>
      </c>
      <c r="F429" s="42" t="s">
        <v>658</v>
      </c>
    </row>
    <row r="430" spans="2:6" x14ac:dyDescent="0.35">
      <c r="B430" s="25" t="s">
        <v>297</v>
      </c>
      <c r="C430" s="27" t="s">
        <v>1026</v>
      </c>
      <c r="D430" s="26" t="s">
        <v>1013</v>
      </c>
      <c r="E430" s="27">
        <v>1</v>
      </c>
      <c r="F430" s="42" t="s">
        <v>661</v>
      </c>
    </row>
    <row r="431" spans="2:6" x14ac:dyDescent="0.35">
      <c r="B431" s="25" t="s">
        <v>297</v>
      </c>
      <c r="C431" s="27" t="s">
        <v>1027</v>
      </c>
      <c r="D431" s="26" t="s">
        <v>1028</v>
      </c>
      <c r="E431" s="27">
        <v>1</v>
      </c>
      <c r="F431" s="42" t="s">
        <v>661</v>
      </c>
    </row>
    <row r="432" spans="2:6" x14ac:dyDescent="0.35">
      <c r="B432" s="25" t="s">
        <v>297</v>
      </c>
      <c r="C432" s="27" t="s">
        <v>1029</v>
      </c>
      <c r="D432" s="26" t="s">
        <v>1030</v>
      </c>
      <c r="E432" s="27">
        <v>1</v>
      </c>
      <c r="F432" s="42" t="s">
        <v>661</v>
      </c>
    </row>
    <row r="433" spans="2:6" ht="29" x14ac:dyDescent="0.35">
      <c r="B433" s="25" t="s">
        <v>297</v>
      </c>
      <c r="C433" s="27" t="s">
        <v>1031</v>
      </c>
      <c r="D433" s="26" t="s">
        <v>1032</v>
      </c>
      <c r="E433" s="27">
        <v>1</v>
      </c>
      <c r="F433" s="42" t="s">
        <v>658</v>
      </c>
    </row>
    <row r="434" spans="2:6" x14ac:dyDescent="0.35">
      <c r="B434" s="25" t="s">
        <v>297</v>
      </c>
      <c r="C434" s="27" t="s">
        <v>1033</v>
      </c>
      <c r="D434" s="26" t="s">
        <v>1034</v>
      </c>
      <c r="E434" s="27">
        <v>1</v>
      </c>
      <c r="F434" s="42" t="s">
        <v>655</v>
      </c>
    </row>
    <row r="435" spans="2:6" x14ac:dyDescent="0.35">
      <c r="B435" s="25" t="s">
        <v>297</v>
      </c>
      <c r="C435" s="27" t="s">
        <v>1035</v>
      </c>
      <c r="D435" s="26" t="s">
        <v>1036</v>
      </c>
      <c r="E435" s="27">
        <v>1</v>
      </c>
      <c r="F435" s="42" t="s">
        <v>658</v>
      </c>
    </row>
    <row r="436" spans="2:6" x14ac:dyDescent="0.35">
      <c r="B436" s="25" t="s">
        <v>297</v>
      </c>
      <c r="C436" s="27" t="s">
        <v>1037</v>
      </c>
      <c r="D436" s="26" t="s">
        <v>1038</v>
      </c>
      <c r="E436" s="27">
        <v>1</v>
      </c>
      <c r="F436" s="42" t="s">
        <v>658</v>
      </c>
    </row>
    <row r="437" spans="2:6" x14ac:dyDescent="0.35">
      <c r="B437" s="25" t="s">
        <v>297</v>
      </c>
      <c r="C437" s="27" t="s">
        <v>1039</v>
      </c>
      <c r="D437" s="26" t="s">
        <v>1040</v>
      </c>
      <c r="E437" s="27">
        <v>1</v>
      </c>
      <c r="F437" s="42" t="s">
        <v>658</v>
      </c>
    </row>
    <row r="438" spans="2:6" ht="29" x14ac:dyDescent="0.35">
      <c r="B438" s="25" t="s">
        <v>297</v>
      </c>
      <c r="C438" s="27" t="s">
        <v>1041</v>
      </c>
      <c r="D438" s="26" t="s">
        <v>1042</v>
      </c>
      <c r="E438" s="27">
        <v>1</v>
      </c>
      <c r="F438" s="42" t="s">
        <v>658</v>
      </c>
    </row>
    <row r="439" spans="2:6" x14ac:dyDescent="0.35">
      <c r="B439" s="25" t="s">
        <v>297</v>
      </c>
      <c r="C439" s="27" t="s">
        <v>1043</v>
      </c>
      <c r="D439" s="26" t="s">
        <v>1044</v>
      </c>
      <c r="E439" s="27">
        <v>1</v>
      </c>
      <c r="F439" s="42" t="s">
        <v>655</v>
      </c>
    </row>
    <row r="440" spans="2:6" x14ac:dyDescent="0.35">
      <c r="B440" s="25" t="s">
        <v>297</v>
      </c>
      <c r="C440" s="27" t="s">
        <v>1045</v>
      </c>
      <c r="D440" s="26" t="s">
        <v>1046</v>
      </c>
      <c r="E440" s="27">
        <v>1</v>
      </c>
      <c r="F440" s="42" t="s">
        <v>658</v>
      </c>
    </row>
    <row r="441" spans="2:6" x14ac:dyDescent="0.35">
      <c r="B441" s="25" t="s">
        <v>297</v>
      </c>
      <c r="C441" s="27" t="s">
        <v>1047</v>
      </c>
      <c r="D441" s="26" t="s">
        <v>1048</v>
      </c>
      <c r="E441" s="27">
        <v>1</v>
      </c>
      <c r="F441" s="42" t="s">
        <v>661</v>
      </c>
    </row>
    <row r="442" spans="2:6" x14ac:dyDescent="0.35">
      <c r="B442" s="25" t="s">
        <v>297</v>
      </c>
      <c r="C442" s="27" t="s">
        <v>1049</v>
      </c>
      <c r="D442" s="26" t="s">
        <v>1050</v>
      </c>
      <c r="E442" s="27">
        <v>1</v>
      </c>
      <c r="F442" s="42" t="s">
        <v>661</v>
      </c>
    </row>
    <row r="443" spans="2:6" x14ac:dyDescent="0.35">
      <c r="B443" s="25" t="s">
        <v>297</v>
      </c>
      <c r="C443" s="27" t="s">
        <v>1051</v>
      </c>
      <c r="D443" s="26" t="s">
        <v>1052</v>
      </c>
      <c r="E443" s="27">
        <v>1</v>
      </c>
      <c r="F443" s="42" t="s">
        <v>661</v>
      </c>
    </row>
    <row r="444" spans="2:6" x14ac:dyDescent="0.35">
      <c r="B444" s="25" t="s">
        <v>297</v>
      </c>
      <c r="C444" s="27" t="s">
        <v>1053</v>
      </c>
      <c r="D444" s="26" t="s">
        <v>1054</v>
      </c>
      <c r="E444" s="27">
        <v>1</v>
      </c>
      <c r="F444" s="42" t="s">
        <v>664</v>
      </c>
    </row>
    <row r="445" spans="2:6" x14ac:dyDescent="0.35">
      <c r="B445" s="25" t="s">
        <v>297</v>
      </c>
      <c r="C445" s="27" t="s">
        <v>1055</v>
      </c>
      <c r="D445" s="26" t="s">
        <v>1056</v>
      </c>
      <c r="E445" s="27">
        <v>1</v>
      </c>
      <c r="F445" s="42" t="s">
        <v>664</v>
      </c>
    </row>
    <row r="446" spans="2:6" x14ac:dyDescent="0.35">
      <c r="B446" s="25" t="s">
        <v>297</v>
      </c>
      <c r="C446" s="27" t="s">
        <v>1057</v>
      </c>
      <c r="D446" s="26" t="s">
        <v>1058</v>
      </c>
      <c r="E446" s="27">
        <v>1</v>
      </c>
      <c r="F446" s="42" t="s">
        <v>661</v>
      </c>
    </row>
    <row r="447" spans="2:6" x14ac:dyDescent="0.35">
      <c r="B447" s="25" t="s">
        <v>297</v>
      </c>
      <c r="C447" s="27" t="s">
        <v>1059</v>
      </c>
      <c r="D447" s="26" t="s">
        <v>1060</v>
      </c>
      <c r="E447" s="27">
        <v>1</v>
      </c>
      <c r="F447" s="42" t="s">
        <v>661</v>
      </c>
    </row>
    <row r="448" spans="2:6" x14ac:dyDescent="0.35">
      <c r="B448" s="25" t="s">
        <v>297</v>
      </c>
      <c r="C448" s="27" t="s">
        <v>1061</v>
      </c>
      <c r="D448" s="26" t="s">
        <v>1062</v>
      </c>
      <c r="E448" s="27">
        <v>1</v>
      </c>
      <c r="F448" s="42" t="s">
        <v>661</v>
      </c>
    </row>
    <row r="449" spans="2:6" x14ac:dyDescent="0.35">
      <c r="B449" s="25" t="s">
        <v>297</v>
      </c>
      <c r="C449" s="27" t="s">
        <v>1063</v>
      </c>
      <c r="D449" s="26" t="s">
        <v>1064</v>
      </c>
      <c r="E449" s="27">
        <v>1</v>
      </c>
      <c r="F449" s="42" t="s">
        <v>658</v>
      </c>
    </row>
    <row r="450" spans="2:6" x14ac:dyDescent="0.35">
      <c r="B450" s="25" t="s">
        <v>297</v>
      </c>
      <c r="C450" s="27" t="s">
        <v>1065</v>
      </c>
      <c r="D450" s="26" t="s">
        <v>1066</v>
      </c>
      <c r="E450" s="27">
        <v>1</v>
      </c>
      <c r="F450" s="42" t="s">
        <v>658</v>
      </c>
    </row>
    <row r="451" spans="2:6" x14ac:dyDescent="0.35">
      <c r="B451" s="25" t="s">
        <v>297</v>
      </c>
      <c r="C451" s="27" t="s">
        <v>1067</v>
      </c>
      <c r="D451" s="26" t="s">
        <v>1068</v>
      </c>
      <c r="E451" s="27">
        <v>1</v>
      </c>
      <c r="F451" s="42" t="s">
        <v>658</v>
      </c>
    </row>
    <row r="452" spans="2:6" x14ac:dyDescent="0.35">
      <c r="B452" s="25" t="s">
        <v>297</v>
      </c>
      <c r="C452" s="27" t="s">
        <v>1069</v>
      </c>
      <c r="D452" s="26" t="s">
        <v>1070</v>
      </c>
      <c r="E452" s="27">
        <v>1</v>
      </c>
      <c r="F452" s="42" t="s">
        <v>658</v>
      </c>
    </row>
    <row r="453" spans="2:6" x14ac:dyDescent="0.35">
      <c r="B453" s="25" t="s">
        <v>297</v>
      </c>
      <c r="C453" s="27" t="s">
        <v>1071</v>
      </c>
      <c r="D453" s="26" t="s">
        <v>1072</v>
      </c>
      <c r="E453" s="27">
        <v>1</v>
      </c>
      <c r="F453" s="42" t="s">
        <v>658</v>
      </c>
    </row>
    <row r="454" spans="2:6" x14ac:dyDescent="0.35">
      <c r="B454" s="25" t="s">
        <v>297</v>
      </c>
      <c r="C454" s="27" t="s">
        <v>1073</v>
      </c>
      <c r="D454" s="26" t="s">
        <v>1074</v>
      </c>
      <c r="E454" s="27">
        <v>1</v>
      </c>
      <c r="F454" s="42" t="s">
        <v>658</v>
      </c>
    </row>
    <row r="455" spans="2:6" ht="29" x14ac:dyDescent="0.35">
      <c r="B455" s="25" t="s">
        <v>297</v>
      </c>
      <c r="C455" s="27" t="s">
        <v>1075</v>
      </c>
      <c r="D455" s="26" t="s">
        <v>1076</v>
      </c>
      <c r="E455" s="27">
        <v>1</v>
      </c>
      <c r="F455" s="42" t="s">
        <v>658</v>
      </c>
    </row>
    <row r="456" spans="2:6" ht="29" x14ac:dyDescent="0.35">
      <c r="B456" s="25" t="s">
        <v>297</v>
      </c>
      <c r="C456" s="27" t="s">
        <v>1077</v>
      </c>
      <c r="D456" s="26" t="s">
        <v>1078</v>
      </c>
      <c r="E456" s="27">
        <v>1</v>
      </c>
      <c r="F456" s="42" t="s">
        <v>658</v>
      </c>
    </row>
    <row r="457" spans="2:6" x14ac:dyDescent="0.35">
      <c r="B457" s="25" t="s">
        <v>297</v>
      </c>
      <c r="C457" s="27" t="s">
        <v>1079</v>
      </c>
      <c r="D457" s="26" t="s">
        <v>1080</v>
      </c>
      <c r="E457" s="27">
        <v>1</v>
      </c>
      <c r="F457" s="42" t="s">
        <v>655</v>
      </c>
    </row>
    <row r="458" spans="2:6" ht="29" x14ac:dyDescent="0.35">
      <c r="B458" s="25" t="s">
        <v>297</v>
      </c>
      <c r="C458" s="27" t="s">
        <v>1081</v>
      </c>
      <c r="D458" s="26" t="s">
        <v>1082</v>
      </c>
      <c r="E458" s="27">
        <v>1</v>
      </c>
      <c r="F458" s="42" t="s">
        <v>658</v>
      </c>
    </row>
    <row r="459" spans="2:6" x14ac:dyDescent="0.35">
      <c r="B459" s="25" t="s">
        <v>297</v>
      </c>
      <c r="C459" s="27" t="s">
        <v>1083</v>
      </c>
      <c r="D459" s="26" t="s">
        <v>1084</v>
      </c>
      <c r="E459" s="27">
        <v>1</v>
      </c>
      <c r="F459" s="42" t="s">
        <v>658</v>
      </c>
    </row>
    <row r="460" spans="2:6" x14ac:dyDescent="0.35">
      <c r="B460" s="25" t="s">
        <v>297</v>
      </c>
      <c r="C460" s="27" t="s">
        <v>1085</v>
      </c>
      <c r="D460" s="26" t="s">
        <v>1086</v>
      </c>
      <c r="E460" s="27">
        <v>1</v>
      </c>
      <c r="F460" s="42" t="s">
        <v>658</v>
      </c>
    </row>
    <row r="461" spans="2:6" x14ac:dyDescent="0.35">
      <c r="B461" s="25" t="s">
        <v>297</v>
      </c>
      <c r="C461" s="27" t="s">
        <v>1087</v>
      </c>
      <c r="D461" s="26" t="s">
        <v>1088</v>
      </c>
      <c r="E461" s="27">
        <v>1</v>
      </c>
      <c r="F461" s="42" t="s">
        <v>658</v>
      </c>
    </row>
    <row r="462" spans="2:6" x14ac:dyDescent="0.35">
      <c r="B462" s="25" t="s">
        <v>297</v>
      </c>
      <c r="C462" s="27" t="s">
        <v>1089</v>
      </c>
      <c r="D462" s="26" t="s">
        <v>1090</v>
      </c>
      <c r="E462" s="27">
        <v>1</v>
      </c>
      <c r="F462" s="42" t="s">
        <v>658</v>
      </c>
    </row>
    <row r="463" spans="2:6" x14ac:dyDescent="0.35">
      <c r="B463" s="25" t="s">
        <v>297</v>
      </c>
      <c r="C463" s="27" t="s">
        <v>1091</v>
      </c>
      <c r="D463" s="26" t="s">
        <v>1092</v>
      </c>
      <c r="E463" s="27">
        <v>1</v>
      </c>
      <c r="F463" s="42" t="s">
        <v>661</v>
      </c>
    </row>
    <row r="464" spans="2:6" ht="29" x14ac:dyDescent="0.35">
      <c r="B464" s="25" t="s">
        <v>297</v>
      </c>
      <c r="C464" s="27" t="s">
        <v>1093</v>
      </c>
      <c r="D464" s="26" t="s">
        <v>1094</v>
      </c>
      <c r="E464" s="27">
        <v>1</v>
      </c>
      <c r="F464" s="42" t="s">
        <v>661</v>
      </c>
    </row>
    <row r="465" spans="2:6" ht="29" x14ac:dyDescent="0.35">
      <c r="B465" s="25" t="s">
        <v>297</v>
      </c>
      <c r="C465" s="27" t="s">
        <v>1095</v>
      </c>
      <c r="D465" s="26" t="s">
        <v>1096</v>
      </c>
      <c r="E465" s="27">
        <v>1</v>
      </c>
      <c r="F465" s="42" t="s">
        <v>658</v>
      </c>
    </row>
    <row r="466" spans="2:6" x14ac:dyDescent="0.35">
      <c r="B466" s="25" t="s">
        <v>297</v>
      </c>
      <c r="C466" s="27" t="s">
        <v>1097</v>
      </c>
      <c r="D466" s="26" t="s">
        <v>1098</v>
      </c>
      <c r="E466" s="27">
        <v>1</v>
      </c>
      <c r="F466" s="42" t="s">
        <v>655</v>
      </c>
    </row>
    <row r="467" spans="2:6" x14ac:dyDescent="0.35">
      <c r="B467" s="25" t="s">
        <v>297</v>
      </c>
      <c r="C467" s="27" t="s">
        <v>1099</v>
      </c>
      <c r="D467" s="26" t="s">
        <v>1100</v>
      </c>
      <c r="E467" s="27">
        <v>1</v>
      </c>
      <c r="F467" s="42" t="s">
        <v>658</v>
      </c>
    </row>
    <row r="468" spans="2:6" x14ac:dyDescent="0.35">
      <c r="B468" s="25" t="s">
        <v>297</v>
      </c>
      <c r="C468" s="27" t="s">
        <v>1101</v>
      </c>
      <c r="D468" s="26" t="s">
        <v>1102</v>
      </c>
      <c r="E468" s="27">
        <v>1</v>
      </c>
      <c r="F468" s="42" t="s">
        <v>658</v>
      </c>
    </row>
    <row r="469" spans="2:6" x14ac:dyDescent="0.35">
      <c r="B469" s="25" t="s">
        <v>297</v>
      </c>
      <c r="C469" s="27" t="s">
        <v>1103</v>
      </c>
      <c r="D469" s="26" t="s">
        <v>1104</v>
      </c>
      <c r="E469" s="27">
        <v>1</v>
      </c>
      <c r="F469" s="42" t="s">
        <v>658</v>
      </c>
    </row>
    <row r="470" spans="2:6" x14ac:dyDescent="0.35">
      <c r="B470" s="25" t="s">
        <v>297</v>
      </c>
      <c r="C470" s="27" t="s">
        <v>1105</v>
      </c>
      <c r="D470" s="26" t="s">
        <v>1106</v>
      </c>
      <c r="E470" s="27">
        <v>1</v>
      </c>
      <c r="F470" s="42" t="s">
        <v>658</v>
      </c>
    </row>
    <row r="471" spans="2:6" ht="29" x14ac:dyDescent="0.35">
      <c r="B471" s="25" t="s">
        <v>297</v>
      </c>
      <c r="C471" s="27" t="s">
        <v>1107</v>
      </c>
      <c r="D471" s="26" t="s">
        <v>1108</v>
      </c>
      <c r="E471" s="27">
        <v>1</v>
      </c>
      <c r="F471" s="42" t="s">
        <v>658</v>
      </c>
    </row>
    <row r="472" spans="2:6" x14ac:dyDescent="0.35">
      <c r="B472" s="25" t="s">
        <v>297</v>
      </c>
      <c r="C472" s="27" t="s">
        <v>1109</v>
      </c>
      <c r="D472" s="26" t="s">
        <v>1110</v>
      </c>
      <c r="E472" s="27">
        <v>1</v>
      </c>
      <c r="F472" s="42" t="s">
        <v>655</v>
      </c>
    </row>
    <row r="473" spans="2:6" x14ac:dyDescent="0.35">
      <c r="B473" s="25" t="s">
        <v>297</v>
      </c>
      <c r="C473" s="27" t="s">
        <v>1111</v>
      </c>
      <c r="D473" s="26" t="s">
        <v>1112</v>
      </c>
      <c r="E473" s="27">
        <v>1</v>
      </c>
      <c r="F473" s="42" t="s">
        <v>658</v>
      </c>
    </row>
    <row r="474" spans="2:6" x14ac:dyDescent="0.35">
      <c r="B474" s="25" t="s">
        <v>297</v>
      </c>
      <c r="C474" s="27" t="s">
        <v>1113</v>
      </c>
      <c r="D474" s="26" t="s">
        <v>1114</v>
      </c>
      <c r="E474" s="27">
        <v>1</v>
      </c>
      <c r="F474" s="42" t="s">
        <v>658</v>
      </c>
    </row>
    <row r="475" spans="2:6" x14ac:dyDescent="0.35">
      <c r="B475" s="25" t="s">
        <v>297</v>
      </c>
      <c r="C475" s="27" t="s">
        <v>1115</v>
      </c>
      <c r="D475" s="26" t="s">
        <v>1116</v>
      </c>
      <c r="E475" s="27">
        <v>1</v>
      </c>
      <c r="F475" s="42" t="s">
        <v>658</v>
      </c>
    </row>
    <row r="476" spans="2:6" x14ac:dyDescent="0.35">
      <c r="B476" s="25" t="s">
        <v>297</v>
      </c>
      <c r="C476" s="27" t="s">
        <v>1117</v>
      </c>
      <c r="D476" s="26" t="s">
        <v>1118</v>
      </c>
      <c r="E476" s="27">
        <v>1</v>
      </c>
      <c r="F476" s="42" t="s">
        <v>658</v>
      </c>
    </row>
    <row r="477" spans="2:6" x14ac:dyDescent="0.35">
      <c r="B477" s="25" t="s">
        <v>297</v>
      </c>
      <c r="C477" s="27" t="s">
        <v>1119</v>
      </c>
      <c r="D477" s="26" t="s">
        <v>1120</v>
      </c>
      <c r="E477" s="27">
        <v>1</v>
      </c>
      <c r="F477" s="42" t="s">
        <v>658</v>
      </c>
    </row>
    <row r="478" spans="2:6" x14ac:dyDescent="0.35">
      <c r="B478" s="25" t="s">
        <v>297</v>
      </c>
      <c r="C478" s="27" t="s">
        <v>1121</v>
      </c>
      <c r="D478" s="26" t="s">
        <v>1122</v>
      </c>
      <c r="E478" s="27">
        <v>1</v>
      </c>
      <c r="F478" s="42" t="s">
        <v>658</v>
      </c>
    </row>
    <row r="479" spans="2:6" x14ac:dyDescent="0.35">
      <c r="B479" s="25" t="s">
        <v>297</v>
      </c>
      <c r="C479" s="27" t="s">
        <v>1123</v>
      </c>
      <c r="D479" s="26" t="s">
        <v>1124</v>
      </c>
      <c r="E479" s="27">
        <v>1</v>
      </c>
      <c r="F479" s="42" t="s">
        <v>658</v>
      </c>
    </row>
    <row r="480" spans="2:6" ht="29" x14ac:dyDescent="0.35">
      <c r="B480" s="25" t="s">
        <v>297</v>
      </c>
      <c r="C480" s="27" t="s">
        <v>1125</v>
      </c>
      <c r="D480" s="26" t="s">
        <v>1126</v>
      </c>
      <c r="E480" s="27">
        <v>1</v>
      </c>
      <c r="F480" s="42" t="s">
        <v>658</v>
      </c>
    </row>
    <row r="481" spans="2:6" x14ac:dyDescent="0.35">
      <c r="B481" s="25" t="s">
        <v>297</v>
      </c>
      <c r="C481" s="27" t="s">
        <v>1127</v>
      </c>
      <c r="D481" s="26" t="s">
        <v>1128</v>
      </c>
      <c r="E481" s="27">
        <v>1</v>
      </c>
      <c r="F481" s="42" t="s">
        <v>655</v>
      </c>
    </row>
    <row r="482" spans="2:6" x14ac:dyDescent="0.35">
      <c r="B482" s="25" t="s">
        <v>297</v>
      </c>
      <c r="C482" s="27" t="s">
        <v>1129</v>
      </c>
      <c r="D482" s="26" t="s">
        <v>1130</v>
      </c>
      <c r="E482" s="27">
        <v>1</v>
      </c>
      <c r="F482" s="42" t="s">
        <v>658</v>
      </c>
    </row>
    <row r="483" spans="2:6" x14ac:dyDescent="0.35">
      <c r="B483" s="25" t="s">
        <v>297</v>
      </c>
      <c r="C483" s="27" t="s">
        <v>1131</v>
      </c>
      <c r="D483" s="26" t="s">
        <v>1132</v>
      </c>
      <c r="E483" s="27">
        <v>1</v>
      </c>
      <c r="F483" s="42" t="s">
        <v>661</v>
      </c>
    </row>
    <row r="484" spans="2:6" x14ac:dyDescent="0.35">
      <c r="B484" s="25" t="s">
        <v>297</v>
      </c>
      <c r="C484" s="27" t="s">
        <v>1133</v>
      </c>
      <c r="D484" s="26" t="s">
        <v>1134</v>
      </c>
      <c r="E484" s="27">
        <v>1</v>
      </c>
      <c r="F484" s="42" t="s">
        <v>661</v>
      </c>
    </row>
    <row r="485" spans="2:6" x14ac:dyDescent="0.35">
      <c r="B485" s="25" t="s">
        <v>297</v>
      </c>
      <c r="C485" s="27" t="s">
        <v>1135</v>
      </c>
      <c r="D485" s="26" t="s">
        <v>1136</v>
      </c>
      <c r="E485" s="27">
        <v>1</v>
      </c>
      <c r="F485" s="42" t="s">
        <v>661</v>
      </c>
    </row>
    <row r="486" spans="2:6" x14ac:dyDescent="0.35">
      <c r="B486" s="25" t="s">
        <v>297</v>
      </c>
      <c r="C486" s="27" t="s">
        <v>1137</v>
      </c>
      <c r="D486" s="26" t="s">
        <v>1138</v>
      </c>
      <c r="E486" s="27">
        <v>1</v>
      </c>
      <c r="F486" s="42" t="s">
        <v>658</v>
      </c>
    </row>
    <row r="487" spans="2:6" x14ac:dyDescent="0.35">
      <c r="B487" s="25" t="s">
        <v>297</v>
      </c>
      <c r="C487" s="27" t="s">
        <v>1139</v>
      </c>
      <c r="D487" s="26" t="s">
        <v>1140</v>
      </c>
      <c r="E487" s="27">
        <v>1</v>
      </c>
      <c r="F487" s="42" t="s">
        <v>661</v>
      </c>
    </row>
    <row r="488" spans="2:6" x14ac:dyDescent="0.35">
      <c r="B488" s="25" t="s">
        <v>297</v>
      </c>
      <c r="C488" s="27" t="s">
        <v>1141</v>
      </c>
      <c r="D488" s="26" t="s">
        <v>1142</v>
      </c>
      <c r="E488" s="27">
        <v>1</v>
      </c>
      <c r="F488" s="42" t="s">
        <v>661</v>
      </c>
    </row>
    <row r="489" spans="2:6" x14ac:dyDescent="0.35">
      <c r="B489" s="25" t="s">
        <v>297</v>
      </c>
      <c r="C489" s="27" t="s">
        <v>1143</v>
      </c>
      <c r="D489" s="26" t="s">
        <v>1144</v>
      </c>
      <c r="E489" s="27">
        <v>1</v>
      </c>
      <c r="F489" s="42" t="s">
        <v>661</v>
      </c>
    </row>
    <row r="490" spans="2:6" x14ac:dyDescent="0.35">
      <c r="B490" s="25" t="s">
        <v>297</v>
      </c>
      <c r="C490" s="27" t="s">
        <v>1145</v>
      </c>
      <c r="D490" s="26" t="s">
        <v>1146</v>
      </c>
      <c r="E490" s="27">
        <v>1</v>
      </c>
      <c r="F490" s="42" t="s">
        <v>661</v>
      </c>
    </row>
    <row r="491" spans="2:6" x14ac:dyDescent="0.35">
      <c r="B491" s="25" t="s">
        <v>297</v>
      </c>
      <c r="C491" s="27" t="s">
        <v>1147</v>
      </c>
      <c r="D491" s="26" t="s">
        <v>1148</v>
      </c>
      <c r="E491" s="27">
        <v>1</v>
      </c>
      <c r="F491" s="42" t="s">
        <v>661</v>
      </c>
    </row>
    <row r="492" spans="2:6" x14ac:dyDescent="0.35">
      <c r="B492" s="25" t="s">
        <v>297</v>
      </c>
      <c r="C492" s="27" t="s">
        <v>1149</v>
      </c>
      <c r="D492" s="26" t="s">
        <v>1150</v>
      </c>
      <c r="E492" s="27">
        <v>1</v>
      </c>
      <c r="F492" s="42" t="s">
        <v>658</v>
      </c>
    </row>
    <row r="493" spans="2:6" x14ac:dyDescent="0.35">
      <c r="B493" s="25" t="s">
        <v>297</v>
      </c>
      <c r="C493" s="27" t="s">
        <v>1151</v>
      </c>
      <c r="D493" s="26" t="s">
        <v>1152</v>
      </c>
      <c r="E493" s="27">
        <v>1</v>
      </c>
      <c r="F493" s="42" t="s">
        <v>658</v>
      </c>
    </row>
    <row r="494" spans="2:6" ht="29" x14ac:dyDescent="0.35">
      <c r="B494" s="25" t="s">
        <v>297</v>
      </c>
      <c r="C494" s="27" t="s">
        <v>1153</v>
      </c>
      <c r="D494" s="26" t="s">
        <v>1154</v>
      </c>
      <c r="E494" s="27">
        <v>1</v>
      </c>
      <c r="F494" s="42" t="s">
        <v>658</v>
      </c>
    </row>
    <row r="495" spans="2:6" x14ac:dyDescent="0.35">
      <c r="B495" s="25" t="s">
        <v>297</v>
      </c>
      <c r="C495" s="27" t="s">
        <v>1155</v>
      </c>
      <c r="D495" s="26" t="s">
        <v>1156</v>
      </c>
      <c r="E495" s="27">
        <v>1</v>
      </c>
      <c r="F495" s="42" t="s">
        <v>658</v>
      </c>
    </row>
    <row r="496" spans="2:6" x14ac:dyDescent="0.35">
      <c r="B496" s="25" t="s">
        <v>297</v>
      </c>
      <c r="C496" s="27" t="s">
        <v>1157</v>
      </c>
      <c r="D496" s="26" t="s">
        <v>1158</v>
      </c>
      <c r="E496" s="27">
        <v>1</v>
      </c>
      <c r="F496" s="42" t="s">
        <v>658</v>
      </c>
    </row>
    <row r="497" spans="2:6" x14ac:dyDescent="0.35">
      <c r="B497" s="25" t="s">
        <v>297</v>
      </c>
      <c r="C497" s="27" t="s">
        <v>1159</v>
      </c>
      <c r="D497" s="26" t="s">
        <v>1160</v>
      </c>
      <c r="E497" s="27">
        <v>1</v>
      </c>
      <c r="F497" s="42" t="s">
        <v>658</v>
      </c>
    </row>
    <row r="498" spans="2:6" x14ac:dyDescent="0.35">
      <c r="B498" s="25" t="s">
        <v>297</v>
      </c>
      <c r="C498" s="27" t="s">
        <v>1161</v>
      </c>
      <c r="D498" s="26" t="s">
        <v>1162</v>
      </c>
      <c r="E498" s="27">
        <v>1</v>
      </c>
      <c r="F498" s="42" t="s">
        <v>658</v>
      </c>
    </row>
    <row r="499" spans="2:6" x14ac:dyDescent="0.35">
      <c r="B499" s="25" t="s">
        <v>297</v>
      </c>
      <c r="C499" s="27" t="s">
        <v>1163</v>
      </c>
      <c r="D499" s="26" t="s">
        <v>1164</v>
      </c>
      <c r="E499" s="27">
        <v>1</v>
      </c>
      <c r="F499" s="42" t="s">
        <v>658</v>
      </c>
    </row>
    <row r="500" spans="2:6" x14ac:dyDescent="0.35">
      <c r="B500" s="25" t="s">
        <v>297</v>
      </c>
      <c r="C500" s="27" t="s">
        <v>1165</v>
      </c>
      <c r="D500" s="26" t="s">
        <v>1166</v>
      </c>
      <c r="E500" s="27">
        <v>1</v>
      </c>
      <c r="F500" s="42" t="s">
        <v>658</v>
      </c>
    </row>
    <row r="501" spans="2:6" x14ac:dyDescent="0.35">
      <c r="B501" s="25" t="s">
        <v>297</v>
      </c>
      <c r="C501" s="27" t="s">
        <v>1167</v>
      </c>
      <c r="D501" s="26" t="s">
        <v>1168</v>
      </c>
      <c r="E501" s="27">
        <v>1</v>
      </c>
      <c r="F501" s="42" t="s">
        <v>661</v>
      </c>
    </row>
    <row r="502" spans="2:6" x14ac:dyDescent="0.35">
      <c r="B502" s="25" t="s">
        <v>297</v>
      </c>
      <c r="C502" s="27" t="s">
        <v>1169</v>
      </c>
      <c r="D502" s="26" t="s">
        <v>1170</v>
      </c>
      <c r="E502" s="27">
        <v>1</v>
      </c>
      <c r="F502" s="42" t="s">
        <v>661</v>
      </c>
    </row>
    <row r="503" spans="2:6" x14ac:dyDescent="0.35">
      <c r="B503" s="25" t="s">
        <v>297</v>
      </c>
      <c r="C503" s="27" t="s">
        <v>1171</v>
      </c>
      <c r="D503" s="26" t="s">
        <v>1172</v>
      </c>
      <c r="E503" s="27">
        <v>1</v>
      </c>
      <c r="F503" s="42" t="s">
        <v>661</v>
      </c>
    </row>
    <row r="504" spans="2:6" ht="29" x14ac:dyDescent="0.35">
      <c r="B504" s="25" t="s">
        <v>297</v>
      </c>
      <c r="C504" s="27" t="s">
        <v>1173</v>
      </c>
      <c r="D504" s="26" t="s">
        <v>1174</v>
      </c>
      <c r="E504" s="27">
        <v>1</v>
      </c>
      <c r="F504" s="42" t="s">
        <v>661</v>
      </c>
    </row>
    <row r="505" spans="2:6" ht="29" x14ac:dyDescent="0.35">
      <c r="B505" s="25" t="s">
        <v>297</v>
      </c>
      <c r="C505" s="27" t="s">
        <v>1175</v>
      </c>
      <c r="D505" s="26" t="s">
        <v>1176</v>
      </c>
      <c r="E505" s="27">
        <v>1</v>
      </c>
      <c r="F505" s="42" t="s">
        <v>658</v>
      </c>
    </row>
    <row r="506" spans="2:6" ht="29" x14ac:dyDescent="0.35">
      <c r="B506" s="25" t="s">
        <v>297</v>
      </c>
      <c r="C506" s="27" t="s">
        <v>1177</v>
      </c>
      <c r="D506" s="26" t="s">
        <v>1178</v>
      </c>
      <c r="E506" s="27">
        <v>1</v>
      </c>
      <c r="F506" s="42" t="s">
        <v>658</v>
      </c>
    </row>
    <row r="507" spans="2:6" x14ac:dyDescent="0.35">
      <c r="B507" s="25" t="s">
        <v>297</v>
      </c>
      <c r="C507" s="27" t="s">
        <v>1179</v>
      </c>
      <c r="D507" s="26" t="s">
        <v>1180</v>
      </c>
      <c r="E507" s="27">
        <v>1</v>
      </c>
      <c r="F507" s="42" t="s">
        <v>658</v>
      </c>
    </row>
    <row r="508" spans="2:6" x14ac:dyDescent="0.35">
      <c r="B508" s="25" t="s">
        <v>297</v>
      </c>
      <c r="C508" s="27" t="s">
        <v>1181</v>
      </c>
      <c r="D508" s="26" t="s">
        <v>1182</v>
      </c>
      <c r="E508" s="27">
        <v>1</v>
      </c>
      <c r="F508" s="42" t="s">
        <v>658</v>
      </c>
    </row>
    <row r="509" spans="2:6" ht="29" x14ac:dyDescent="0.35">
      <c r="B509" s="25" t="s">
        <v>297</v>
      </c>
      <c r="C509" s="27" t="s">
        <v>1183</v>
      </c>
      <c r="D509" s="26" t="s">
        <v>1184</v>
      </c>
      <c r="E509" s="27">
        <v>1</v>
      </c>
      <c r="F509" s="42" t="s">
        <v>658</v>
      </c>
    </row>
    <row r="510" spans="2:6" x14ac:dyDescent="0.35">
      <c r="B510" s="25" t="s">
        <v>297</v>
      </c>
      <c r="C510" s="27" t="s">
        <v>1185</v>
      </c>
      <c r="D510" s="26" t="s">
        <v>1186</v>
      </c>
      <c r="E510" s="27">
        <v>1</v>
      </c>
      <c r="F510" s="42" t="s">
        <v>658</v>
      </c>
    </row>
    <row r="511" spans="2:6" ht="29" x14ac:dyDescent="0.35">
      <c r="B511" s="25" t="s">
        <v>297</v>
      </c>
      <c r="C511" s="27" t="s">
        <v>1187</v>
      </c>
      <c r="D511" s="26" t="s">
        <v>1188</v>
      </c>
      <c r="E511" s="27">
        <v>1</v>
      </c>
      <c r="F511" s="42" t="s">
        <v>658</v>
      </c>
    </row>
    <row r="512" spans="2:6" ht="29" x14ac:dyDescent="0.35">
      <c r="B512" s="25" t="s">
        <v>297</v>
      </c>
      <c r="C512" s="27" t="s">
        <v>1189</v>
      </c>
      <c r="D512" s="26" t="s">
        <v>1190</v>
      </c>
      <c r="E512" s="27">
        <v>1</v>
      </c>
      <c r="F512" s="42" t="s">
        <v>658</v>
      </c>
    </row>
    <row r="513" spans="2:6" x14ac:dyDescent="0.35">
      <c r="B513" s="25" t="s">
        <v>297</v>
      </c>
      <c r="C513" s="27" t="s">
        <v>1191</v>
      </c>
      <c r="D513" s="26" t="s">
        <v>1192</v>
      </c>
      <c r="E513" s="27">
        <v>1</v>
      </c>
      <c r="F513" s="42" t="s">
        <v>655</v>
      </c>
    </row>
    <row r="514" spans="2:6" x14ac:dyDescent="0.35">
      <c r="B514" s="25" t="s">
        <v>297</v>
      </c>
      <c r="C514" s="27" t="s">
        <v>1193</v>
      </c>
      <c r="D514" s="26" t="s">
        <v>1194</v>
      </c>
      <c r="E514" s="27">
        <v>1</v>
      </c>
      <c r="F514" s="42" t="s">
        <v>658</v>
      </c>
    </row>
    <row r="515" spans="2:6" x14ac:dyDescent="0.35">
      <c r="B515" s="25" t="s">
        <v>297</v>
      </c>
      <c r="C515" s="27" t="s">
        <v>1195</v>
      </c>
      <c r="D515" s="26" t="s">
        <v>1196</v>
      </c>
      <c r="E515" s="27">
        <v>1</v>
      </c>
      <c r="F515" s="42" t="s">
        <v>658</v>
      </c>
    </row>
    <row r="516" spans="2:6" x14ac:dyDescent="0.35">
      <c r="B516" s="25" t="s">
        <v>297</v>
      </c>
      <c r="C516" s="27" t="s">
        <v>1197</v>
      </c>
      <c r="D516" s="26" t="s">
        <v>1198</v>
      </c>
      <c r="E516" s="27">
        <v>1</v>
      </c>
      <c r="F516" s="42" t="s">
        <v>658</v>
      </c>
    </row>
    <row r="517" spans="2:6" x14ac:dyDescent="0.35">
      <c r="B517" s="25" t="s">
        <v>297</v>
      </c>
      <c r="C517" s="27" t="s">
        <v>1199</v>
      </c>
      <c r="D517" s="26" t="s">
        <v>1200</v>
      </c>
      <c r="E517" s="27">
        <v>1</v>
      </c>
      <c r="F517" s="42" t="s">
        <v>658</v>
      </c>
    </row>
    <row r="518" spans="2:6" x14ac:dyDescent="0.35">
      <c r="B518" s="25" t="s">
        <v>297</v>
      </c>
      <c r="C518" s="27" t="s">
        <v>1201</v>
      </c>
      <c r="D518" s="26" t="s">
        <v>1202</v>
      </c>
      <c r="E518" s="27">
        <v>1</v>
      </c>
      <c r="F518" s="42" t="s">
        <v>658</v>
      </c>
    </row>
    <row r="519" spans="2:6" x14ac:dyDescent="0.35">
      <c r="B519" s="25" t="s">
        <v>297</v>
      </c>
      <c r="C519" s="27" t="s">
        <v>1203</v>
      </c>
      <c r="D519" s="26" t="s">
        <v>1204</v>
      </c>
      <c r="E519" s="27">
        <v>1</v>
      </c>
      <c r="F519" s="42" t="s">
        <v>658</v>
      </c>
    </row>
    <row r="520" spans="2:6" ht="29" x14ac:dyDescent="0.35">
      <c r="B520" s="25" t="s">
        <v>297</v>
      </c>
      <c r="C520" s="27" t="s">
        <v>1205</v>
      </c>
      <c r="D520" s="26" t="s">
        <v>1206</v>
      </c>
      <c r="E520" s="27">
        <v>1</v>
      </c>
      <c r="F520" s="42" t="s">
        <v>658</v>
      </c>
    </row>
    <row r="521" spans="2:6" x14ac:dyDescent="0.35">
      <c r="B521" s="25" t="s">
        <v>297</v>
      </c>
      <c r="C521" s="27" t="s">
        <v>1207</v>
      </c>
      <c r="D521" s="26" t="s">
        <v>1208</v>
      </c>
      <c r="E521" s="27">
        <v>1</v>
      </c>
      <c r="F521" s="42" t="s">
        <v>658</v>
      </c>
    </row>
    <row r="522" spans="2:6" x14ac:dyDescent="0.35">
      <c r="B522" s="25" t="s">
        <v>297</v>
      </c>
      <c r="C522" s="27" t="s">
        <v>1209</v>
      </c>
      <c r="D522" s="26" t="s">
        <v>1210</v>
      </c>
      <c r="E522" s="27">
        <v>1</v>
      </c>
      <c r="F522" s="42" t="s">
        <v>658</v>
      </c>
    </row>
    <row r="523" spans="2:6" x14ac:dyDescent="0.35">
      <c r="B523" s="25" t="s">
        <v>297</v>
      </c>
      <c r="C523" s="27" t="s">
        <v>1211</v>
      </c>
      <c r="D523" s="26" t="s">
        <v>1212</v>
      </c>
      <c r="E523" s="27">
        <v>1</v>
      </c>
      <c r="F523" s="42" t="s">
        <v>658</v>
      </c>
    </row>
    <row r="524" spans="2:6" ht="29" x14ac:dyDescent="0.35">
      <c r="B524" s="25" t="s">
        <v>297</v>
      </c>
      <c r="C524" s="27" t="s">
        <v>1213</v>
      </c>
      <c r="D524" s="26" t="s">
        <v>1214</v>
      </c>
      <c r="E524" s="27">
        <v>1</v>
      </c>
      <c r="F524" s="42" t="s">
        <v>658</v>
      </c>
    </row>
    <row r="525" spans="2:6" ht="29" x14ac:dyDescent="0.35">
      <c r="B525" s="25" t="s">
        <v>297</v>
      </c>
      <c r="C525" s="27" t="s">
        <v>1215</v>
      </c>
      <c r="D525" s="26" t="s">
        <v>1216</v>
      </c>
      <c r="E525" s="27">
        <v>1</v>
      </c>
      <c r="F525" s="42" t="s">
        <v>658</v>
      </c>
    </row>
    <row r="526" spans="2:6" x14ac:dyDescent="0.35">
      <c r="B526" s="25" t="s">
        <v>297</v>
      </c>
      <c r="C526" s="27" t="s">
        <v>1217</v>
      </c>
      <c r="D526" s="26" t="s">
        <v>1218</v>
      </c>
      <c r="E526" s="27">
        <v>1</v>
      </c>
      <c r="F526" s="42" t="s">
        <v>655</v>
      </c>
    </row>
    <row r="527" spans="2:6" x14ac:dyDescent="0.35">
      <c r="B527" s="25" t="s">
        <v>297</v>
      </c>
      <c r="C527" s="27" t="s">
        <v>1219</v>
      </c>
      <c r="D527" s="26" t="s">
        <v>1220</v>
      </c>
      <c r="E527" s="27">
        <v>1</v>
      </c>
      <c r="F527" s="42" t="s">
        <v>658</v>
      </c>
    </row>
    <row r="528" spans="2:6" x14ac:dyDescent="0.35">
      <c r="B528" s="25" t="s">
        <v>297</v>
      </c>
      <c r="C528" s="27" t="s">
        <v>1221</v>
      </c>
      <c r="D528" s="26" t="s">
        <v>1222</v>
      </c>
      <c r="E528" s="27">
        <v>1</v>
      </c>
      <c r="F528" s="42" t="s">
        <v>658</v>
      </c>
    </row>
    <row r="529" spans="2:6" x14ac:dyDescent="0.35">
      <c r="B529" s="25" t="s">
        <v>297</v>
      </c>
      <c r="C529" s="27" t="s">
        <v>1223</v>
      </c>
      <c r="D529" s="26" t="s">
        <v>1224</v>
      </c>
      <c r="E529" s="27">
        <v>1</v>
      </c>
      <c r="F529" s="42" t="s">
        <v>658</v>
      </c>
    </row>
    <row r="530" spans="2:6" ht="29" x14ac:dyDescent="0.35">
      <c r="B530" s="25" t="s">
        <v>297</v>
      </c>
      <c r="C530" s="27" t="s">
        <v>1225</v>
      </c>
      <c r="D530" s="26" t="s">
        <v>1226</v>
      </c>
      <c r="E530" s="27">
        <v>1</v>
      </c>
      <c r="F530" s="42" t="s">
        <v>658</v>
      </c>
    </row>
    <row r="531" spans="2:6" ht="29" x14ac:dyDescent="0.35">
      <c r="B531" s="25" t="s">
        <v>297</v>
      </c>
      <c r="C531" s="27" t="s">
        <v>1227</v>
      </c>
      <c r="D531" s="26" t="s">
        <v>1228</v>
      </c>
      <c r="E531" s="27">
        <v>1</v>
      </c>
      <c r="F531" s="42" t="s">
        <v>658</v>
      </c>
    </row>
    <row r="532" spans="2:6" x14ac:dyDescent="0.35">
      <c r="B532" s="25" t="s">
        <v>297</v>
      </c>
      <c r="C532" s="27" t="s">
        <v>1229</v>
      </c>
      <c r="D532" s="26" t="s">
        <v>1230</v>
      </c>
      <c r="E532" s="27">
        <v>1</v>
      </c>
      <c r="F532" s="42" t="s">
        <v>655</v>
      </c>
    </row>
    <row r="533" spans="2:6" x14ac:dyDescent="0.35">
      <c r="B533" s="25" t="s">
        <v>297</v>
      </c>
      <c r="C533" s="27" t="s">
        <v>1231</v>
      </c>
      <c r="D533" s="26" t="s">
        <v>1232</v>
      </c>
      <c r="E533" s="27">
        <v>1</v>
      </c>
      <c r="F533" s="42" t="s">
        <v>658</v>
      </c>
    </row>
    <row r="534" spans="2:6" x14ac:dyDescent="0.35">
      <c r="B534" s="25" t="s">
        <v>297</v>
      </c>
      <c r="C534" s="27" t="s">
        <v>1233</v>
      </c>
      <c r="D534" s="26" t="s">
        <v>1234</v>
      </c>
      <c r="E534" s="27">
        <v>1</v>
      </c>
      <c r="F534" s="42" t="s">
        <v>658</v>
      </c>
    </row>
    <row r="535" spans="2:6" x14ac:dyDescent="0.35">
      <c r="B535" s="25" t="s">
        <v>297</v>
      </c>
      <c r="C535" s="27" t="s">
        <v>1235</v>
      </c>
      <c r="D535" s="26" t="s">
        <v>1044</v>
      </c>
      <c r="E535" s="27">
        <v>1</v>
      </c>
      <c r="F535" s="42" t="s">
        <v>658</v>
      </c>
    </row>
    <row r="536" spans="2:6" x14ac:dyDescent="0.35">
      <c r="B536" s="25" t="s">
        <v>297</v>
      </c>
      <c r="C536" s="27" t="s">
        <v>1236</v>
      </c>
      <c r="D536" s="26" t="s">
        <v>1237</v>
      </c>
      <c r="E536" s="27">
        <v>1</v>
      </c>
      <c r="F536" s="42" t="s">
        <v>658</v>
      </c>
    </row>
    <row r="537" spans="2:6" x14ac:dyDescent="0.35">
      <c r="B537" s="25" t="s">
        <v>297</v>
      </c>
      <c r="C537" s="27" t="s">
        <v>1238</v>
      </c>
      <c r="D537" s="26" t="s">
        <v>1239</v>
      </c>
      <c r="E537" s="27">
        <v>1</v>
      </c>
      <c r="F537" s="42" t="s">
        <v>658</v>
      </c>
    </row>
    <row r="538" spans="2:6" x14ac:dyDescent="0.35">
      <c r="B538" s="25" t="s">
        <v>297</v>
      </c>
      <c r="C538" s="27" t="s">
        <v>1240</v>
      </c>
      <c r="D538" s="26" t="s">
        <v>1241</v>
      </c>
      <c r="E538" s="27">
        <v>1</v>
      </c>
      <c r="F538" s="42" t="s">
        <v>658</v>
      </c>
    </row>
    <row r="539" spans="2:6" x14ac:dyDescent="0.35">
      <c r="B539" s="25" t="s">
        <v>297</v>
      </c>
      <c r="C539" s="27" t="s">
        <v>1242</v>
      </c>
      <c r="D539" s="26" t="s">
        <v>1243</v>
      </c>
      <c r="E539" s="27">
        <v>1</v>
      </c>
      <c r="F539" s="42" t="s">
        <v>658</v>
      </c>
    </row>
    <row r="540" spans="2:6" x14ac:dyDescent="0.35">
      <c r="B540" s="25" t="s">
        <v>297</v>
      </c>
      <c r="C540" s="27" t="s">
        <v>1244</v>
      </c>
      <c r="D540" s="26" t="s">
        <v>825</v>
      </c>
      <c r="E540" s="27">
        <v>1</v>
      </c>
      <c r="F540" s="42" t="s">
        <v>658</v>
      </c>
    </row>
    <row r="541" spans="2:6" ht="29" x14ac:dyDescent="0.35">
      <c r="B541" s="25" t="s">
        <v>297</v>
      </c>
      <c r="C541" s="27" t="s">
        <v>1245</v>
      </c>
      <c r="D541" s="26" t="s">
        <v>1082</v>
      </c>
      <c r="E541" s="27">
        <v>1</v>
      </c>
      <c r="F541" s="42" t="s">
        <v>658</v>
      </c>
    </row>
    <row r="542" spans="2:6" x14ac:dyDescent="0.35">
      <c r="B542" s="25" t="s">
        <v>297</v>
      </c>
      <c r="C542" s="27" t="s">
        <v>1246</v>
      </c>
      <c r="D542" s="26" t="s">
        <v>1084</v>
      </c>
      <c r="E542" s="27">
        <v>1</v>
      </c>
      <c r="F542" s="42" t="s">
        <v>658</v>
      </c>
    </row>
    <row r="543" spans="2:6" x14ac:dyDescent="0.35">
      <c r="B543" s="25" t="s">
        <v>297</v>
      </c>
      <c r="C543" s="27" t="s">
        <v>1247</v>
      </c>
      <c r="D543" s="26" t="s">
        <v>1248</v>
      </c>
      <c r="E543" s="27">
        <v>1</v>
      </c>
      <c r="F543" s="42" t="s">
        <v>658</v>
      </c>
    </row>
    <row r="544" spans="2:6" x14ac:dyDescent="0.35">
      <c r="B544" s="25" t="s">
        <v>297</v>
      </c>
      <c r="C544" s="27" t="s">
        <v>1249</v>
      </c>
      <c r="D544" s="26" t="s">
        <v>1250</v>
      </c>
      <c r="E544" s="27">
        <v>1</v>
      </c>
      <c r="F544" s="42" t="s">
        <v>658</v>
      </c>
    </row>
    <row r="545" spans="2:6" x14ac:dyDescent="0.35">
      <c r="B545" s="25" t="s">
        <v>297</v>
      </c>
      <c r="C545" s="27" t="s">
        <v>1251</v>
      </c>
      <c r="D545" s="26" t="s">
        <v>1252</v>
      </c>
      <c r="E545" s="27">
        <v>1</v>
      </c>
      <c r="F545" s="42" t="s">
        <v>658</v>
      </c>
    </row>
    <row r="546" spans="2:6" ht="29" x14ac:dyDescent="0.35">
      <c r="B546" s="25" t="s">
        <v>297</v>
      </c>
      <c r="C546" s="27" t="s">
        <v>1253</v>
      </c>
      <c r="D546" s="26" t="s">
        <v>1254</v>
      </c>
      <c r="E546" s="27">
        <v>1</v>
      </c>
      <c r="F546" s="42" t="s">
        <v>658</v>
      </c>
    </row>
    <row r="547" spans="2:6" x14ac:dyDescent="0.35">
      <c r="B547" s="25" t="s">
        <v>297</v>
      </c>
      <c r="C547" s="27" t="s">
        <v>1255</v>
      </c>
      <c r="D547" s="26" t="s">
        <v>1256</v>
      </c>
      <c r="E547" s="27">
        <v>1</v>
      </c>
      <c r="F547" s="42" t="s">
        <v>658</v>
      </c>
    </row>
    <row r="548" spans="2:6" x14ac:dyDescent="0.35">
      <c r="B548" s="25" t="s">
        <v>297</v>
      </c>
      <c r="C548" s="27" t="s">
        <v>1257</v>
      </c>
      <c r="D548" s="26" t="s">
        <v>1258</v>
      </c>
      <c r="E548" s="27">
        <v>1</v>
      </c>
      <c r="F548" s="42" t="s">
        <v>658</v>
      </c>
    </row>
    <row r="549" spans="2:6" x14ac:dyDescent="0.35">
      <c r="B549" s="25" t="s">
        <v>297</v>
      </c>
      <c r="C549" s="27" t="s">
        <v>1259</v>
      </c>
      <c r="D549" s="26" t="s">
        <v>1260</v>
      </c>
      <c r="E549" s="27">
        <v>1</v>
      </c>
      <c r="F549" s="42" t="s">
        <v>658</v>
      </c>
    </row>
    <row r="550" spans="2:6" x14ac:dyDescent="0.35">
      <c r="B550" s="25" t="s">
        <v>297</v>
      </c>
      <c r="C550" s="27" t="s">
        <v>1261</v>
      </c>
      <c r="D550" s="26" t="s">
        <v>1262</v>
      </c>
      <c r="E550" s="27">
        <v>1</v>
      </c>
      <c r="F550" s="42" t="s">
        <v>658</v>
      </c>
    </row>
    <row r="551" spans="2:6" x14ac:dyDescent="0.35">
      <c r="B551" s="25" t="s">
        <v>297</v>
      </c>
      <c r="C551" s="27" t="s">
        <v>1263</v>
      </c>
      <c r="D551" s="26" t="s">
        <v>1264</v>
      </c>
      <c r="E551" s="27">
        <v>1</v>
      </c>
      <c r="F551" s="42" t="s">
        <v>661</v>
      </c>
    </row>
    <row r="552" spans="2:6" x14ac:dyDescent="0.35">
      <c r="B552" s="25" t="s">
        <v>297</v>
      </c>
      <c r="C552" s="27" t="s">
        <v>1265</v>
      </c>
      <c r="D552" s="26" t="s">
        <v>1266</v>
      </c>
      <c r="E552" s="27">
        <v>1</v>
      </c>
      <c r="F552" s="42" t="s">
        <v>661</v>
      </c>
    </row>
    <row r="553" spans="2:6" x14ac:dyDescent="0.35">
      <c r="B553" s="25" t="s">
        <v>297</v>
      </c>
      <c r="C553" s="27" t="s">
        <v>1267</v>
      </c>
      <c r="D553" s="26" t="s">
        <v>1268</v>
      </c>
      <c r="E553" s="27">
        <v>1</v>
      </c>
      <c r="F553" s="42" t="s">
        <v>661</v>
      </c>
    </row>
    <row r="554" spans="2:6" x14ac:dyDescent="0.35">
      <c r="B554" s="25" t="s">
        <v>297</v>
      </c>
      <c r="C554" s="27" t="s">
        <v>1269</v>
      </c>
      <c r="D554" s="26" t="s">
        <v>1270</v>
      </c>
      <c r="E554" s="27">
        <v>1</v>
      </c>
      <c r="F554" s="42" t="s">
        <v>661</v>
      </c>
    </row>
    <row r="555" spans="2:6" ht="29" x14ac:dyDescent="0.35">
      <c r="B555" s="25" t="s">
        <v>297</v>
      </c>
      <c r="C555" s="27" t="s">
        <v>1271</v>
      </c>
      <c r="D555" s="26" t="s">
        <v>1272</v>
      </c>
      <c r="E555" s="27">
        <v>1</v>
      </c>
      <c r="F555" s="42" t="s">
        <v>661</v>
      </c>
    </row>
    <row r="556" spans="2:6" ht="29" x14ac:dyDescent="0.35">
      <c r="B556" s="25" t="s">
        <v>297</v>
      </c>
      <c r="C556" s="27" t="s">
        <v>1273</v>
      </c>
      <c r="D556" s="26" t="s">
        <v>1274</v>
      </c>
      <c r="E556" s="27">
        <v>1</v>
      </c>
      <c r="F556" s="42" t="s">
        <v>658</v>
      </c>
    </row>
    <row r="557" spans="2:6" x14ac:dyDescent="0.35">
      <c r="B557" s="25" t="s">
        <v>297</v>
      </c>
      <c r="C557" s="27" t="s">
        <v>1275</v>
      </c>
      <c r="D557" s="26" t="s">
        <v>1276</v>
      </c>
      <c r="E557" s="27">
        <v>1</v>
      </c>
      <c r="F557" s="42" t="s">
        <v>655</v>
      </c>
    </row>
    <row r="558" spans="2:6" x14ac:dyDescent="0.35">
      <c r="B558" s="25" t="s">
        <v>297</v>
      </c>
      <c r="C558" s="27" t="s">
        <v>1277</v>
      </c>
      <c r="D558" s="26" t="s">
        <v>1278</v>
      </c>
      <c r="E558" s="27">
        <v>1</v>
      </c>
      <c r="F558" s="42" t="s">
        <v>658</v>
      </c>
    </row>
    <row r="559" spans="2:6" x14ac:dyDescent="0.35">
      <c r="B559" s="25" t="s">
        <v>297</v>
      </c>
      <c r="C559" s="27" t="s">
        <v>1279</v>
      </c>
      <c r="D559" s="26" t="s">
        <v>1280</v>
      </c>
      <c r="E559" s="27">
        <v>1</v>
      </c>
      <c r="F559" s="42" t="s">
        <v>658</v>
      </c>
    </row>
    <row r="560" spans="2:6" ht="29" x14ac:dyDescent="0.35">
      <c r="B560" s="25" t="s">
        <v>297</v>
      </c>
      <c r="C560" s="27" t="s">
        <v>1281</v>
      </c>
      <c r="D560" s="26" t="s">
        <v>1282</v>
      </c>
      <c r="E560" s="27">
        <v>1</v>
      </c>
      <c r="F560" s="42" t="s">
        <v>658</v>
      </c>
    </row>
    <row r="561" spans="2:6" x14ac:dyDescent="0.35">
      <c r="B561" s="25" t="s">
        <v>287</v>
      </c>
      <c r="C561" s="43">
        <v>0</v>
      </c>
      <c r="D561" s="44" t="s">
        <v>641</v>
      </c>
      <c r="E561" s="43">
        <v>1</v>
      </c>
      <c r="F561" s="42"/>
    </row>
    <row r="562" spans="2:6" x14ac:dyDescent="0.35">
      <c r="B562" s="25" t="s">
        <v>287</v>
      </c>
      <c r="C562" s="43">
        <v>1</v>
      </c>
      <c r="D562" s="44" t="s">
        <v>1283</v>
      </c>
      <c r="E562" s="43">
        <v>1</v>
      </c>
      <c r="F562" s="42"/>
    </row>
    <row r="563" spans="2:6" x14ac:dyDescent="0.35">
      <c r="B563" s="25" t="s">
        <v>287</v>
      </c>
      <c r="C563" s="43">
        <v>2</v>
      </c>
      <c r="D563" s="44" t="s">
        <v>1284</v>
      </c>
      <c r="E563" s="43">
        <v>1</v>
      </c>
      <c r="F563" s="42"/>
    </row>
    <row r="564" spans="2:6" x14ac:dyDescent="0.35">
      <c r="B564" s="25" t="s">
        <v>287</v>
      </c>
      <c r="C564" s="43">
        <v>3</v>
      </c>
      <c r="D564" s="44" t="s">
        <v>1285</v>
      </c>
      <c r="E564" s="43">
        <v>1</v>
      </c>
      <c r="F564" s="42"/>
    </row>
    <row r="565" spans="2:6" x14ac:dyDescent="0.35">
      <c r="B565" s="25" t="s">
        <v>312</v>
      </c>
      <c r="C565" s="27">
        <v>0</v>
      </c>
      <c r="D565" s="26" t="s">
        <v>1286</v>
      </c>
      <c r="E565" s="27">
        <v>1</v>
      </c>
      <c r="F565" s="42"/>
    </row>
    <row r="566" spans="2:6" x14ac:dyDescent="0.35">
      <c r="B566" s="25" t="s">
        <v>312</v>
      </c>
      <c r="C566" s="27">
        <v>1</v>
      </c>
      <c r="D566" s="26" t="s">
        <v>1287</v>
      </c>
      <c r="E566" s="27">
        <v>1</v>
      </c>
      <c r="F566" s="42"/>
    </row>
    <row r="567" spans="2:6" x14ac:dyDescent="0.35">
      <c r="B567" s="25" t="s">
        <v>312</v>
      </c>
      <c r="C567" s="27">
        <v>2</v>
      </c>
      <c r="D567" s="26" t="s">
        <v>1288</v>
      </c>
      <c r="E567" s="27">
        <v>1</v>
      </c>
      <c r="F567" s="42"/>
    </row>
    <row r="568" spans="2:6" x14ac:dyDescent="0.35">
      <c r="B568" s="25" t="s">
        <v>312</v>
      </c>
      <c r="C568" s="27">
        <v>3</v>
      </c>
      <c r="D568" s="26" t="s">
        <v>1289</v>
      </c>
      <c r="E568" s="27">
        <v>1</v>
      </c>
      <c r="F568" s="42"/>
    </row>
    <row r="569" spans="2:6" ht="29" x14ac:dyDescent="0.35">
      <c r="B569" s="25" t="s">
        <v>312</v>
      </c>
      <c r="C569" s="27">
        <v>4</v>
      </c>
      <c r="D569" s="26" t="s">
        <v>1290</v>
      </c>
      <c r="E569" s="27">
        <v>1</v>
      </c>
      <c r="F569" s="42"/>
    </row>
    <row r="570" spans="2:6" ht="29" x14ac:dyDescent="0.35">
      <c r="B570" s="25" t="s">
        <v>312</v>
      </c>
      <c r="C570" s="27">
        <v>5</v>
      </c>
      <c r="D570" s="26" t="s">
        <v>1291</v>
      </c>
      <c r="E570" s="27">
        <v>1</v>
      </c>
      <c r="F570" s="42"/>
    </row>
    <row r="571" spans="2:6" x14ac:dyDescent="0.35">
      <c r="B571" s="25" t="s">
        <v>312</v>
      </c>
      <c r="C571" s="27">
        <v>6</v>
      </c>
      <c r="D571" s="26" t="s">
        <v>1292</v>
      </c>
      <c r="E571" s="27">
        <v>1</v>
      </c>
      <c r="F571" s="42"/>
    </row>
    <row r="572" spans="2:6" x14ac:dyDescent="0.35">
      <c r="B572" s="25" t="s">
        <v>312</v>
      </c>
      <c r="C572" s="27">
        <v>7</v>
      </c>
      <c r="D572" s="26" t="s">
        <v>1293</v>
      </c>
      <c r="E572" s="27">
        <v>1</v>
      </c>
      <c r="F572" s="42"/>
    </row>
    <row r="573" spans="2:6" x14ac:dyDescent="0.35">
      <c r="B573" s="25" t="s">
        <v>312</v>
      </c>
      <c r="C573" s="27">
        <v>8</v>
      </c>
      <c r="D573" s="26" t="s">
        <v>1294</v>
      </c>
      <c r="E573" s="27">
        <v>1</v>
      </c>
      <c r="F573" s="42"/>
    </row>
    <row r="574" spans="2:6" x14ac:dyDescent="0.35">
      <c r="B574" s="25" t="s">
        <v>312</v>
      </c>
      <c r="C574" s="27">
        <v>9</v>
      </c>
      <c r="D574" s="26" t="s">
        <v>1295</v>
      </c>
      <c r="E574" s="27">
        <v>1</v>
      </c>
      <c r="F574" s="42"/>
    </row>
    <row r="575" spans="2:6" x14ac:dyDescent="0.35">
      <c r="B575" s="25" t="s">
        <v>312</v>
      </c>
      <c r="C575" s="27">
        <v>10</v>
      </c>
      <c r="D575" s="26" t="s">
        <v>1296</v>
      </c>
      <c r="E575" s="27">
        <v>1</v>
      </c>
      <c r="F575" s="42"/>
    </row>
    <row r="576" spans="2:6" x14ac:dyDescent="0.35">
      <c r="B576" s="25" t="s">
        <v>312</v>
      </c>
      <c r="C576" s="27">
        <v>11</v>
      </c>
      <c r="D576" s="26" t="s">
        <v>1297</v>
      </c>
      <c r="E576" s="27">
        <v>1</v>
      </c>
      <c r="F576" s="42"/>
    </row>
    <row r="577" spans="2:6" x14ac:dyDescent="0.35">
      <c r="B577" s="25" t="s">
        <v>312</v>
      </c>
      <c r="C577" s="27">
        <v>12</v>
      </c>
      <c r="D577" s="26" t="s">
        <v>1298</v>
      </c>
      <c r="E577" s="27">
        <v>1</v>
      </c>
      <c r="F577" s="42"/>
    </row>
    <row r="578" spans="2:6" x14ac:dyDescent="0.35">
      <c r="B578" s="25" t="s">
        <v>312</v>
      </c>
      <c r="C578" s="27">
        <v>13</v>
      </c>
      <c r="D578" s="26" t="s">
        <v>1299</v>
      </c>
      <c r="E578" s="27">
        <v>1</v>
      </c>
      <c r="F578" s="42"/>
    </row>
    <row r="579" spans="2:6" x14ac:dyDescent="0.35">
      <c r="B579" s="25" t="s">
        <v>312</v>
      </c>
      <c r="C579" s="27">
        <v>14</v>
      </c>
      <c r="D579" s="26" t="s">
        <v>1300</v>
      </c>
      <c r="E579" s="27">
        <v>1</v>
      </c>
      <c r="F579" s="42"/>
    </row>
    <row r="580" spans="2:6" x14ac:dyDescent="0.35">
      <c r="B580" s="25" t="s">
        <v>312</v>
      </c>
      <c r="C580" s="27">
        <v>15</v>
      </c>
      <c r="D580" s="26" t="s">
        <v>1301</v>
      </c>
      <c r="E580" s="27">
        <v>1</v>
      </c>
      <c r="F580" s="42"/>
    </row>
    <row r="581" spans="2:6" x14ac:dyDescent="0.35">
      <c r="B581" s="25" t="s">
        <v>312</v>
      </c>
      <c r="C581" s="27">
        <v>16</v>
      </c>
      <c r="D581" s="26" t="s">
        <v>1302</v>
      </c>
      <c r="E581" s="27">
        <v>1</v>
      </c>
      <c r="F581" s="42"/>
    </row>
    <row r="582" spans="2:6" x14ac:dyDescent="0.35">
      <c r="B582" s="25" t="s">
        <v>312</v>
      </c>
      <c r="C582" s="27">
        <v>17</v>
      </c>
      <c r="D582" s="26" t="s">
        <v>1303</v>
      </c>
      <c r="E582" s="27">
        <v>1</v>
      </c>
      <c r="F582" s="42"/>
    </row>
    <row r="583" spans="2:6" x14ac:dyDescent="0.35">
      <c r="B583" s="25" t="s">
        <v>312</v>
      </c>
      <c r="C583" s="27">
        <v>18</v>
      </c>
      <c r="D583" s="26" t="s">
        <v>1304</v>
      </c>
      <c r="E583" s="27">
        <v>1</v>
      </c>
      <c r="F583" s="42"/>
    </row>
    <row r="584" spans="2:6" x14ac:dyDescent="0.35">
      <c r="B584" s="25" t="s">
        <v>312</v>
      </c>
      <c r="C584" s="27">
        <v>19</v>
      </c>
      <c r="D584" s="26" t="s">
        <v>1305</v>
      </c>
      <c r="E584" s="27">
        <v>1</v>
      </c>
      <c r="F584" s="42"/>
    </row>
    <row r="585" spans="2:6" x14ac:dyDescent="0.35">
      <c r="B585" s="25" t="s">
        <v>312</v>
      </c>
      <c r="C585" s="27">
        <v>20</v>
      </c>
      <c r="D585" s="26" t="s">
        <v>1306</v>
      </c>
      <c r="E585" s="27">
        <v>1</v>
      </c>
      <c r="F585" s="42"/>
    </row>
    <row r="586" spans="2:6" x14ac:dyDescent="0.35">
      <c r="B586" s="25" t="s">
        <v>408</v>
      </c>
      <c r="C586" s="43">
        <v>0</v>
      </c>
      <c r="D586" s="44" t="s">
        <v>84</v>
      </c>
      <c r="E586" s="43">
        <v>1</v>
      </c>
      <c r="F586" s="42"/>
    </row>
    <row r="587" spans="2:6" x14ac:dyDescent="0.35">
      <c r="B587" s="25" t="s">
        <v>408</v>
      </c>
      <c r="C587" s="43">
        <v>1</v>
      </c>
      <c r="D587" s="44" t="s">
        <v>1307</v>
      </c>
      <c r="E587" s="43">
        <v>1</v>
      </c>
      <c r="F587" s="42"/>
    </row>
    <row r="588" spans="2:6" x14ac:dyDescent="0.35">
      <c r="B588" s="25" t="s">
        <v>408</v>
      </c>
      <c r="C588" s="43">
        <v>2</v>
      </c>
      <c r="D588" s="44" t="s">
        <v>1308</v>
      </c>
      <c r="E588" s="43">
        <v>1</v>
      </c>
      <c r="F588" s="42"/>
    </row>
    <row r="589" spans="2:6" ht="72.5" x14ac:dyDescent="0.35">
      <c r="B589" s="25" t="s">
        <v>385</v>
      </c>
      <c r="C589" s="27">
        <v>1</v>
      </c>
      <c r="D589" s="26" t="s">
        <v>1309</v>
      </c>
      <c r="E589" s="27">
        <v>1</v>
      </c>
      <c r="F589" s="42" t="s">
        <v>1310</v>
      </c>
    </row>
    <row r="590" spans="2:6" ht="43.5" x14ac:dyDescent="0.35">
      <c r="B590" s="25" t="s">
        <v>385</v>
      </c>
      <c r="C590" s="27">
        <v>2</v>
      </c>
      <c r="D590" s="26" t="s">
        <v>1311</v>
      </c>
      <c r="E590" s="27">
        <v>1</v>
      </c>
      <c r="F590" s="42" t="s">
        <v>1312</v>
      </c>
    </row>
    <row r="591" spans="2:6" x14ac:dyDescent="0.35">
      <c r="B591" s="25" t="s">
        <v>385</v>
      </c>
      <c r="C591" s="27">
        <v>3</v>
      </c>
      <c r="D591" s="26" t="s">
        <v>1313</v>
      </c>
      <c r="E591" s="27">
        <v>1</v>
      </c>
      <c r="F591" s="42" t="s">
        <v>1314</v>
      </c>
    </row>
    <row r="592" spans="2:6" x14ac:dyDescent="0.35">
      <c r="B592" s="25" t="s">
        <v>385</v>
      </c>
      <c r="C592" s="27">
        <v>4</v>
      </c>
      <c r="D592" s="26" t="s">
        <v>1315</v>
      </c>
      <c r="E592" s="27">
        <v>1</v>
      </c>
      <c r="F592" s="42" t="s">
        <v>1316</v>
      </c>
    </row>
    <row r="593" spans="2:6" x14ac:dyDescent="0.35">
      <c r="B593" s="25" t="s">
        <v>385</v>
      </c>
      <c r="C593" s="27">
        <v>5</v>
      </c>
      <c r="D593" s="26" t="s">
        <v>1317</v>
      </c>
      <c r="E593" s="27">
        <v>1</v>
      </c>
      <c r="F593" s="42" t="s">
        <v>1318</v>
      </c>
    </row>
    <row r="594" spans="2:6" x14ac:dyDescent="0.35">
      <c r="B594" s="25" t="s">
        <v>385</v>
      </c>
      <c r="C594" s="27">
        <v>6</v>
      </c>
      <c r="D594" s="26" t="s">
        <v>1319</v>
      </c>
      <c r="E594" s="27">
        <v>1</v>
      </c>
      <c r="F594" s="42" t="s">
        <v>1320</v>
      </c>
    </row>
    <row r="595" spans="2:6" x14ac:dyDescent="0.35">
      <c r="B595" s="25" t="s">
        <v>385</v>
      </c>
      <c r="C595" s="27">
        <v>7</v>
      </c>
      <c r="D595" s="26" t="s">
        <v>1321</v>
      </c>
      <c r="E595" s="27">
        <v>1</v>
      </c>
      <c r="F595" s="42" t="s">
        <v>1322</v>
      </c>
    </row>
    <row r="596" spans="2:6" x14ac:dyDescent="0.35">
      <c r="B596" s="25" t="s">
        <v>385</v>
      </c>
      <c r="C596" s="27">
        <v>8</v>
      </c>
      <c r="D596" s="26" t="s">
        <v>1323</v>
      </c>
      <c r="E596" s="27">
        <v>1</v>
      </c>
      <c r="F596" s="42" t="s">
        <v>1324</v>
      </c>
    </row>
    <row r="597" spans="2:6" ht="29" x14ac:dyDescent="0.35">
      <c r="B597" s="25" t="s">
        <v>385</v>
      </c>
      <c r="C597" s="27">
        <v>9</v>
      </c>
      <c r="D597" s="26" t="s">
        <v>1325</v>
      </c>
      <c r="E597" s="27">
        <v>1</v>
      </c>
      <c r="F597" s="42" t="s">
        <v>1326</v>
      </c>
    </row>
    <row r="598" spans="2:6" x14ac:dyDescent="0.35">
      <c r="B598" s="25" t="s">
        <v>385</v>
      </c>
      <c r="C598" s="27">
        <v>10</v>
      </c>
      <c r="D598" s="26" t="s">
        <v>1327</v>
      </c>
      <c r="E598" s="27">
        <v>1</v>
      </c>
      <c r="F598" s="42" t="s">
        <v>1328</v>
      </c>
    </row>
    <row r="599" spans="2:6" x14ac:dyDescent="0.35">
      <c r="B599" s="25" t="s">
        <v>385</v>
      </c>
      <c r="C599" s="27">
        <v>11</v>
      </c>
      <c r="D599" s="26" t="s">
        <v>1329</v>
      </c>
      <c r="E599" s="27">
        <v>1</v>
      </c>
      <c r="F599" s="42" t="s">
        <v>1330</v>
      </c>
    </row>
    <row r="600" spans="2:6" x14ac:dyDescent="0.35">
      <c r="B600" s="25" t="s">
        <v>385</v>
      </c>
      <c r="C600" s="27">
        <v>12</v>
      </c>
      <c r="D600" s="26" t="s">
        <v>1331</v>
      </c>
      <c r="E600" s="27">
        <v>1</v>
      </c>
      <c r="F600" s="42" t="s">
        <v>1332</v>
      </c>
    </row>
    <row r="601" spans="2:6" x14ac:dyDescent="0.35">
      <c r="B601" s="25" t="s">
        <v>385</v>
      </c>
      <c r="C601" s="27">
        <v>13</v>
      </c>
      <c r="D601" s="26" t="s">
        <v>1333</v>
      </c>
      <c r="E601" s="27">
        <v>1</v>
      </c>
      <c r="F601" s="42" t="s">
        <v>1334</v>
      </c>
    </row>
    <row r="602" spans="2:6" x14ac:dyDescent="0.35">
      <c r="B602" s="25" t="s">
        <v>385</v>
      </c>
      <c r="C602" s="27">
        <v>14</v>
      </c>
      <c r="D602" s="26" t="s">
        <v>1335</v>
      </c>
      <c r="E602" s="27">
        <v>1</v>
      </c>
      <c r="F602" s="42" t="s">
        <v>1336</v>
      </c>
    </row>
    <row r="603" spans="2:6" x14ac:dyDescent="0.35">
      <c r="B603" s="25" t="s">
        <v>385</v>
      </c>
      <c r="C603" s="27">
        <v>15</v>
      </c>
      <c r="D603" s="26" t="s">
        <v>1337</v>
      </c>
      <c r="E603" s="27">
        <v>1</v>
      </c>
      <c r="F603" s="42" t="s">
        <v>1338</v>
      </c>
    </row>
    <row r="604" spans="2:6" x14ac:dyDescent="0.35">
      <c r="B604" s="25" t="s">
        <v>385</v>
      </c>
      <c r="C604" s="27">
        <v>16</v>
      </c>
      <c r="D604" s="26" t="s">
        <v>1339</v>
      </c>
      <c r="E604" s="27">
        <v>1</v>
      </c>
      <c r="F604" s="42" t="s">
        <v>1340</v>
      </c>
    </row>
    <row r="605" spans="2:6" ht="43.5" x14ac:dyDescent="0.35">
      <c r="B605" s="25" t="s">
        <v>385</v>
      </c>
      <c r="C605" s="27">
        <v>17</v>
      </c>
      <c r="D605" s="26" t="s">
        <v>1341</v>
      </c>
      <c r="E605" s="27">
        <v>1</v>
      </c>
      <c r="F605" s="42" t="s">
        <v>1342</v>
      </c>
    </row>
    <row r="606" spans="2:6" x14ac:dyDescent="0.35">
      <c r="B606" s="25" t="s">
        <v>385</v>
      </c>
      <c r="C606" s="27">
        <v>18</v>
      </c>
      <c r="D606" s="26" t="s">
        <v>1343</v>
      </c>
      <c r="E606" s="27">
        <v>1</v>
      </c>
      <c r="F606" s="42" t="s">
        <v>1344</v>
      </c>
    </row>
    <row r="607" spans="2:6" ht="58" x14ac:dyDescent="0.35">
      <c r="B607" s="25" t="s">
        <v>385</v>
      </c>
      <c r="C607" s="27">
        <v>19</v>
      </c>
      <c r="D607" s="26" t="s">
        <v>1345</v>
      </c>
      <c r="E607" s="27">
        <v>1</v>
      </c>
      <c r="F607" s="42" t="s">
        <v>1346</v>
      </c>
    </row>
    <row r="608" spans="2:6" x14ac:dyDescent="0.35">
      <c r="B608" s="25" t="s">
        <v>366</v>
      </c>
      <c r="C608" s="43">
        <v>0</v>
      </c>
      <c r="D608" s="44" t="s">
        <v>1347</v>
      </c>
      <c r="E608" s="43">
        <v>1</v>
      </c>
      <c r="F608" s="45" t="s">
        <v>1348</v>
      </c>
    </row>
    <row r="609" spans="2:6" ht="29" x14ac:dyDescent="0.35">
      <c r="B609" s="25" t="s">
        <v>366</v>
      </c>
      <c r="C609" s="43">
        <v>1</v>
      </c>
      <c r="D609" s="44" t="s">
        <v>1349</v>
      </c>
      <c r="E609" s="43">
        <v>1</v>
      </c>
      <c r="F609" s="45" t="s">
        <v>1350</v>
      </c>
    </row>
    <row r="610" spans="2:6" x14ac:dyDescent="0.35">
      <c r="B610" s="25" t="s">
        <v>366</v>
      </c>
      <c r="C610" s="43">
        <v>2</v>
      </c>
      <c r="D610" s="44" t="s">
        <v>1351</v>
      </c>
      <c r="E610" s="43">
        <v>1</v>
      </c>
      <c r="F610" s="45" t="s">
        <v>1352</v>
      </c>
    </row>
    <row r="611" spans="2:6" x14ac:dyDescent="0.35">
      <c r="B611" s="25" t="s">
        <v>410</v>
      </c>
      <c r="C611" s="43">
        <v>0</v>
      </c>
      <c r="D611" s="44" t="s">
        <v>1353</v>
      </c>
      <c r="E611" s="43">
        <v>1</v>
      </c>
      <c r="F611" s="46" t="s">
        <v>84</v>
      </c>
    </row>
    <row r="612" spans="2:6" x14ac:dyDescent="0.35">
      <c r="B612" s="25" t="s">
        <v>410</v>
      </c>
      <c r="C612" s="43">
        <v>1</v>
      </c>
      <c r="D612" s="44" t="s">
        <v>1354</v>
      </c>
      <c r="E612" s="43">
        <v>1</v>
      </c>
      <c r="F612" s="46" t="s">
        <v>1355</v>
      </c>
    </row>
    <row r="613" spans="2:6" x14ac:dyDescent="0.35">
      <c r="B613" s="25" t="s">
        <v>410</v>
      </c>
      <c r="C613" s="43">
        <v>2</v>
      </c>
      <c r="D613" s="44" t="s">
        <v>1356</v>
      </c>
      <c r="E613" s="43">
        <v>1</v>
      </c>
      <c r="F613" s="46" t="s">
        <v>1357</v>
      </c>
    </row>
    <row r="614" spans="2:6" x14ac:dyDescent="0.35">
      <c r="B614" s="25" t="s">
        <v>410</v>
      </c>
      <c r="C614" s="43">
        <v>3</v>
      </c>
      <c r="D614" s="44" t="s">
        <v>1358</v>
      </c>
      <c r="E614" s="43">
        <v>1</v>
      </c>
      <c r="F614" s="46" t="s">
        <v>1359</v>
      </c>
    </row>
    <row r="615" spans="2:6" x14ac:dyDescent="0.35">
      <c r="B615" s="25" t="s">
        <v>410</v>
      </c>
      <c r="C615" s="43">
        <v>4</v>
      </c>
      <c r="D615" s="44" t="s">
        <v>1005</v>
      </c>
      <c r="E615" s="43">
        <v>1</v>
      </c>
      <c r="F615" s="46" t="s">
        <v>1360</v>
      </c>
    </row>
    <row r="616" spans="2:6" x14ac:dyDescent="0.35">
      <c r="B616" s="25" t="s">
        <v>410</v>
      </c>
      <c r="C616" s="43">
        <v>5</v>
      </c>
      <c r="D616" s="44" t="s">
        <v>1361</v>
      </c>
      <c r="E616" s="43">
        <v>1</v>
      </c>
      <c r="F616" s="46" t="s">
        <v>1362</v>
      </c>
    </row>
    <row r="617" spans="2:6" x14ac:dyDescent="0.35">
      <c r="B617" s="25" t="s">
        <v>410</v>
      </c>
      <c r="C617" s="43">
        <v>6</v>
      </c>
      <c r="D617" s="44" t="s">
        <v>1363</v>
      </c>
      <c r="E617" s="43">
        <v>1</v>
      </c>
      <c r="F617" s="46" t="s">
        <v>1364</v>
      </c>
    </row>
    <row r="618" spans="2:6" x14ac:dyDescent="0.35">
      <c r="B618" s="25" t="s">
        <v>410</v>
      </c>
      <c r="C618" s="43">
        <v>7</v>
      </c>
      <c r="D618" s="44" t="s">
        <v>1365</v>
      </c>
      <c r="E618" s="43">
        <v>1</v>
      </c>
      <c r="F618" s="46" t="s">
        <v>1366</v>
      </c>
    </row>
    <row r="619" spans="2:6" x14ac:dyDescent="0.35">
      <c r="B619" s="25" t="s">
        <v>291</v>
      </c>
      <c r="C619" s="43">
        <v>1</v>
      </c>
      <c r="D619" s="44" t="s">
        <v>1367</v>
      </c>
      <c r="E619" s="43">
        <v>1</v>
      </c>
      <c r="F619" s="42"/>
    </row>
    <row r="620" spans="2:6" x14ac:dyDescent="0.35">
      <c r="B620" s="25" t="s">
        <v>291</v>
      </c>
      <c r="C620" s="43">
        <v>2</v>
      </c>
      <c r="D620" s="44" t="s">
        <v>1368</v>
      </c>
      <c r="E620" s="43">
        <v>1</v>
      </c>
      <c r="F620" s="42"/>
    </row>
    <row r="621" spans="2:6" x14ac:dyDescent="0.35">
      <c r="B621" s="25" t="s">
        <v>291</v>
      </c>
      <c r="C621" s="43">
        <v>3</v>
      </c>
      <c r="D621" s="44" t="s">
        <v>1369</v>
      </c>
      <c r="E621" s="43">
        <v>1</v>
      </c>
      <c r="F621" s="42"/>
    </row>
    <row r="622" spans="2:6" ht="145" x14ac:dyDescent="0.35">
      <c r="B622" s="25" t="s">
        <v>400</v>
      </c>
      <c r="C622" s="43">
        <v>1</v>
      </c>
      <c r="D622" s="44" t="s">
        <v>1370</v>
      </c>
      <c r="E622" s="43">
        <v>1</v>
      </c>
      <c r="F622" s="42" t="s">
        <v>1371</v>
      </c>
    </row>
    <row r="623" spans="2:6" ht="130.5" x14ac:dyDescent="0.35">
      <c r="B623" s="25" t="s">
        <v>400</v>
      </c>
      <c r="C623" s="43">
        <v>2</v>
      </c>
      <c r="D623" s="44" t="s">
        <v>1372</v>
      </c>
      <c r="E623" s="43">
        <v>1</v>
      </c>
      <c r="F623" s="42" t="s">
        <v>1373</v>
      </c>
    </row>
    <row r="624" spans="2:6" ht="246.5" x14ac:dyDescent="0.35">
      <c r="B624" s="25" t="s">
        <v>400</v>
      </c>
      <c r="C624" s="43">
        <v>3</v>
      </c>
      <c r="D624" s="44" t="s">
        <v>1374</v>
      </c>
      <c r="E624" s="43">
        <v>1</v>
      </c>
      <c r="F624" s="42" t="s">
        <v>1375</v>
      </c>
    </row>
    <row r="625" spans="2:6" ht="319" x14ac:dyDescent="0.35">
      <c r="B625" s="25" t="s">
        <v>400</v>
      </c>
      <c r="C625" s="43">
        <v>4</v>
      </c>
      <c r="D625" s="44" t="s">
        <v>1376</v>
      </c>
      <c r="E625" s="43">
        <v>1</v>
      </c>
      <c r="F625" s="42" t="s">
        <v>1377</v>
      </c>
    </row>
    <row r="626" spans="2:6" ht="130.5" x14ac:dyDescent="0.35">
      <c r="B626" s="25" t="s">
        <v>400</v>
      </c>
      <c r="C626" s="43">
        <v>5</v>
      </c>
      <c r="D626" s="44" t="s">
        <v>1378</v>
      </c>
      <c r="E626" s="43">
        <v>1</v>
      </c>
      <c r="F626" s="42" t="s">
        <v>1379</v>
      </c>
    </row>
    <row r="627" spans="2:6" ht="333.5" x14ac:dyDescent="0.35">
      <c r="B627" s="25" t="s">
        <v>400</v>
      </c>
      <c r="C627" s="43">
        <v>6</v>
      </c>
      <c r="D627" s="44" t="s">
        <v>1380</v>
      </c>
      <c r="E627" s="43">
        <v>1</v>
      </c>
      <c r="F627" s="42" t="s">
        <v>1381</v>
      </c>
    </row>
    <row r="628" spans="2:6" ht="72.5" x14ac:dyDescent="0.35">
      <c r="B628" s="25" t="s">
        <v>400</v>
      </c>
      <c r="C628" s="43">
        <v>7</v>
      </c>
      <c r="D628" s="44" t="s">
        <v>1382</v>
      </c>
      <c r="E628" s="43">
        <v>1</v>
      </c>
      <c r="F628" s="42" t="s">
        <v>1383</v>
      </c>
    </row>
    <row r="629" spans="2:6" ht="174" x14ac:dyDescent="0.35">
      <c r="B629" s="25" t="s">
        <v>400</v>
      </c>
      <c r="C629" s="43">
        <v>8</v>
      </c>
      <c r="D629" s="44" t="s">
        <v>1384</v>
      </c>
      <c r="E629" s="43">
        <v>1</v>
      </c>
      <c r="F629" s="42" t="s">
        <v>1385</v>
      </c>
    </row>
    <row r="630" spans="2:6" ht="203" x14ac:dyDescent="0.35">
      <c r="B630" s="25" t="s">
        <v>400</v>
      </c>
      <c r="C630" s="43">
        <v>9</v>
      </c>
      <c r="D630" s="44" t="s">
        <v>1386</v>
      </c>
      <c r="E630" s="43">
        <v>1</v>
      </c>
      <c r="F630" s="42" t="s">
        <v>1387</v>
      </c>
    </row>
    <row r="631" spans="2:6" x14ac:dyDescent="0.35">
      <c r="B631" s="25" t="s">
        <v>330</v>
      </c>
      <c r="C631" s="43">
        <v>1</v>
      </c>
      <c r="D631" s="44" t="s">
        <v>1388</v>
      </c>
      <c r="E631" s="27">
        <v>1</v>
      </c>
      <c r="F631" s="28" t="s">
        <v>1389</v>
      </c>
    </row>
    <row r="632" spans="2:6" x14ac:dyDescent="0.35">
      <c r="B632" s="25" t="s">
        <v>330</v>
      </c>
      <c r="C632" s="27">
        <v>2</v>
      </c>
      <c r="D632" s="26" t="s">
        <v>471</v>
      </c>
      <c r="E632" s="27">
        <v>1</v>
      </c>
      <c r="F632" s="28" t="s">
        <v>471</v>
      </c>
    </row>
    <row r="633" spans="2:6" x14ac:dyDescent="0.35">
      <c r="B633" s="25" t="s">
        <v>330</v>
      </c>
      <c r="C633" s="27">
        <v>3</v>
      </c>
      <c r="D633" s="26" t="s">
        <v>1390</v>
      </c>
      <c r="E633" s="27">
        <v>1</v>
      </c>
      <c r="F633" s="28" t="s">
        <v>1390</v>
      </c>
    </row>
    <row r="634" spans="2:6" x14ac:dyDescent="0.35">
      <c r="B634" s="25" t="s">
        <v>330</v>
      </c>
      <c r="C634" s="27">
        <v>4</v>
      </c>
      <c r="D634" s="26" t="s">
        <v>1391</v>
      </c>
      <c r="E634" s="27">
        <v>1</v>
      </c>
      <c r="F634" s="28" t="s">
        <v>1391</v>
      </c>
    </row>
    <row r="635" spans="2:6" x14ac:dyDescent="0.35">
      <c r="B635" s="25" t="s">
        <v>330</v>
      </c>
      <c r="C635" s="27">
        <v>5</v>
      </c>
      <c r="D635" s="26" t="s">
        <v>1392</v>
      </c>
      <c r="E635" s="27">
        <v>1</v>
      </c>
      <c r="F635" s="28" t="s">
        <v>1392</v>
      </c>
    </row>
    <row r="636" spans="2:6" x14ac:dyDescent="0.35">
      <c r="B636" s="25" t="s">
        <v>330</v>
      </c>
      <c r="C636" s="27">
        <v>6</v>
      </c>
      <c r="D636" s="26" t="s">
        <v>1393</v>
      </c>
      <c r="E636" s="27">
        <v>1</v>
      </c>
      <c r="F636" s="28" t="s">
        <v>1393</v>
      </c>
    </row>
    <row r="637" spans="2:6" ht="29" x14ac:dyDescent="0.35">
      <c r="B637" s="25" t="s">
        <v>330</v>
      </c>
      <c r="C637" s="27">
        <v>7</v>
      </c>
      <c r="D637" s="26" t="s">
        <v>1394</v>
      </c>
      <c r="E637" s="27">
        <v>1</v>
      </c>
      <c r="F637" s="28" t="s">
        <v>1395</v>
      </c>
    </row>
    <row r="638" spans="2:6" ht="29" x14ac:dyDescent="0.35">
      <c r="B638" s="25" t="s">
        <v>330</v>
      </c>
      <c r="C638" s="27">
        <v>8</v>
      </c>
      <c r="D638" s="26" t="s">
        <v>1396</v>
      </c>
      <c r="E638" s="27">
        <v>1</v>
      </c>
      <c r="F638" s="28" t="s">
        <v>1396</v>
      </c>
    </row>
    <row r="639" spans="2:6" x14ac:dyDescent="0.35">
      <c r="B639" s="25" t="s">
        <v>330</v>
      </c>
      <c r="C639" s="27">
        <v>14</v>
      </c>
      <c r="D639" s="26" t="s">
        <v>1397</v>
      </c>
      <c r="E639" s="27">
        <v>1</v>
      </c>
      <c r="F639" s="28" t="s">
        <v>1398</v>
      </c>
    </row>
    <row r="640" spans="2:6" x14ac:dyDescent="0.35">
      <c r="B640" s="25" t="s">
        <v>330</v>
      </c>
      <c r="C640" s="27">
        <v>33</v>
      </c>
      <c r="D640" s="26" t="s">
        <v>1399</v>
      </c>
      <c r="E640" s="27">
        <v>1</v>
      </c>
      <c r="F640" s="28" t="s">
        <v>1399</v>
      </c>
    </row>
    <row r="641" spans="2:6" x14ac:dyDescent="0.35">
      <c r="B641" s="25" t="s">
        <v>330</v>
      </c>
      <c r="C641" s="43">
        <v>34</v>
      </c>
      <c r="D641" s="44" t="s">
        <v>1400</v>
      </c>
      <c r="E641" s="27">
        <v>1</v>
      </c>
      <c r="F641" s="46" t="s">
        <v>1400</v>
      </c>
    </row>
    <row r="642" spans="2:6" x14ac:dyDescent="0.35">
      <c r="B642" s="25" t="s">
        <v>330</v>
      </c>
      <c r="C642" s="43">
        <v>35</v>
      </c>
      <c r="D642" s="44" t="s">
        <v>1401</v>
      </c>
      <c r="E642" s="27">
        <v>1</v>
      </c>
      <c r="F642" s="46" t="s">
        <v>1401</v>
      </c>
    </row>
    <row r="643" spans="2:6" x14ac:dyDescent="0.35">
      <c r="B643" s="25" t="s">
        <v>369</v>
      </c>
      <c r="C643" s="27">
        <v>1</v>
      </c>
      <c r="D643" s="26" t="s">
        <v>1402</v>
      </c>
      <c r="E643" s="27">
        <v>1</v>
      </c>
      <c r="F643" s="42" t="s">
        <v>1403</v>
      </c>
    </row>
    <row r="644" spans="2:6" x14ac:dyDescent="0.35">
      <c r="B644" s="25" t="s">
        <v>369</v>
      </c>
      <c r="C644" s="27">
        <v>2</v>
      </c>
      <c r="D644" s="26" t="s">
        <v>1404</v>
      </c>
      <c r="E644" s="27">
        <v>1</v>
      </c>
      <c r="F644" s="42" t="s">
        <v>1405</v>
      </c>
    </row>
    <row r="645" spans="2:6" x14ac:dyDescent="0.35">
      <c r="B645" s="25" t="s">
        <v>369</v>
      </c>
      <c r="C645" s="27">
        <v>3</v>
      </c>
      <c r="D645" s="26" t="s">
        <v>1406</v>
      </c>
      <c r="E645" s="27">
        <v>1</v>
      </c>
      <c r="F645" s="42" t="s">
        <v>1407</v>
      </c>
    </row>
    <row r="646" spans="2:6" x14ac:dyDescent="0.35">
      <c r="B646" s="25" t="s">
        <v>369</v>
      </c>
      <c r="C646" s="27">
        <v>4</v>
      </c>
      <c r="D646" s="26" t="s">
        <v>1408</v>
      </c>
      <c r="E646" s="27">
        <v>1</v>
      </c>
      <c r="F646" s="42" t="s">
        <v>1409</v>
      </c>
    </row>
    <row r="647" spans="2:6" ht="43.5" x14ac:dyDescent="0.35">
      <c r="B647" s="25" t="s">
        <v>369</v>
      </c>
      <c r="C647" s="27">
        <v>5</v>
      </c>
      <c r="D647" s="26" t="s">
        <v>1410</v>
      </c>
      <c r="E647" s="27">
        <v>1</v>
      </c>
      <c r="F647" s="42" t="s">
        <v>1411</v>
      </c>
    </row>
    <row r="648" spans="2:6" ht="29" x14ac:dyDescent="0.35">
      <c r="B648" s="25" t="s">
        <v>369</v>
      </c>
      <c r="C648" s="27">
        <v>6</v>
      </c>
      <c r="D648" s="26" t="s">
        <v>1412</v>
      </c>
      <c r="E648" s="27">
        <v>1</v>
      </c>
      <c r="F648" s="42" t="s">
        <v>1413</v>
      </c>
    </row>
    <row r="649" spans="2:6" x14ac:dyDescent="0.35">
      <c r="B649" s="25" t="s">
        <v>403</v>
      </c>
      <c r="C649" s="43">
        <v>0</v>
      </c>
      <c r="D649" s="44" t="s">
        <v>1414</v>
      </c>
      <c r="E649" s="43">
        <v>1</v>
      </c>
      <c r="F649" s="42"/>
    </row>
    <row r="650" spans="2:6" x14ac:dyDescent="0.35">
      <c r="B650" s="25" t="s">
        <v>403</v>
      </c>
      <c r="C650" s="43">
        <v>1</v>
      </c>
      <c r="D650" s="44" t="s">
        <v>1415</v>
      </c>
      <c r="E650" s="43">
        <v>1</v>
      </c>
      <c r="F650" s="42"/>
    </row>
    <row r="651" spans="2:6" x14ac:dyDescent="0.35">
      <c r="B651" s="25" t="s">
        <v>403</v>
      </c>
      <c r="C651" s="43">
        <v>2</v>
      </c>
      <c r="D651" s="44" t="s">
        <v>1416</v>
      </c>
      <c r="E651" s="43">
        <v>1</v>
      </c>
      <c r="F651" s="42"/>
    </row>
    <row r="652" spans="2:6" x14ac:dyDescent="0.35">
      <c r="B652" s="25" t="s">
        <v>403</v>
      </c>
      <c r="C652" s="43">
        <v>3</v>
      </c>
      <c r="D652" s="44" t="s">
        <v>1417</v>
      </c>
      <c r="E652" s="43">
        <v>1</v>
      </c>
      <c r="F652" s="42"/>
    </row>
    <row r="653" spans="2:6" x14ac:dyDescent="0.35">
      <c r="B653" s="25" t="s">
        <v>403</v>
      </c>
      <c r="C653" s="43">
        <v>4</v>
      </c>
      <c r="D653" s="44" t="s">
        <v>1418</v>
      </c>
      <c r="E653" s="43">
        <v>1</v>
      </c>
      <c r="F653" s="42"/>
    </row>
    <row r="654" spans="2:6" x14ac:dyDescent="0.35">
      <c r="B654" s="25" t="s">
        <v>403</v>
      </c>
      <c r="C654" s="43">
        <v>5</v>
      </c>
      <c r="D654" s="44" t="s">
        <v>1419</v>
      </c>
      <c r="E654" s="43">
        <v>1</v>
      </c>
      <c r="F654" s="42"/>
    </row>
    <row r="655" spans="2:6" x14ac:dyDescent="0.35">
      <c r="B655" s="25" t="s">
        <v>403</v>
      </c>
      <c r="C655" s="43">
        <v>6</v>
      </c>
      <c r="D655" s="44" t="s">
        <v>1420</v>
      </c>
      <c r="E655" s="43">
        <v>1</v>
      </c>
      <c r="F655" s="42"/>
    </row>
    <row r="656" spans="2:6" x14ac:dyDescent="0.35">
      <c r="B656" s="25" t="s">
        <v>403</v>
      </c>
      <c r="C656" s="43">
        <v>7</v>
      </c>
      <c r="D656" s="44" t="s">
        <v>1421</v>
      </c>
      <c r="E656" s="43">
        <v>1</v>
      </c>
      <c r="F656" s="42"/>
    </row>
    <row r="657" spans="2:6" x14ac:dyDescent="0.35">
      <c r="B657" s="25" t="s">
        <v>403</v>
      </c>
      <c r="C657" s="43">
        <v>8</v>
      </c>
      <c r="D657" s="44" t="s">
        <v>1422</v>
      </c>
      <c r="E657" s="43">
        <v>1</v>
      </c>
      <c r="F657" s="42"/>
    </row>
    <row r="658" spans="2:6" x14ac:dyDescent="0.35">
      <c r="B658" s="25" t="s">
        <v>403</v>
      </c>
      <c r="C658" s="43">
        <v>9</v>
      </c>
      <c r="D658" s="44" t="s">
        <v>1423</v>
      </c>
      <c r="E658" s="43">
        <v>1</v>
      </c>
      <c r="F658" s="42"/>
    </row>
    <row r="659" spans="2:6" x14ac:dyDescent="0.35">
      <c r="B659" s="25" t="s">
        <v>403</v>
      </c>
      <c r="C659" s="43">
        <v>10</v>
      </c>
      <c r="D659" s="44" t="s">
        <v>1424</v>
      </c>
      <c r="E659" s="43">
        <v>1</v>
      </c>
      <c r="F659" s="42"/>
    </row>
    <row r="660" spans="2:6" x14ac:dyDescent="0.35">
      <c r="B660" s="25" t="s">
        <v>403</v>
      </c>
      <c r="C660" s="43">
        <v>11</v>
      </c>
      <c r="D660" s="44" t="s">
        <v>1425</v>
      </c>
      <c r="E660" s="43">
        <v>1</v>
      </c>
      <c r="F660" s="42"/>
    </row>
    <row r="661" spans="2:6" x14ac:dyDescent="0.35">
      <c r="B661" s="25" t="s">
        <v>403</v>
      </c>
      <c r="C661" s="43">
        <v>12</v>
      </c>
      <c r="D661" s="44" t="s">
        <v>1426</v>
      </c>
      <c r="E661" s="43">
        <v>1</v>
      </c>
      <c r="F661" s="42"/>
    </row>
    <row r="662" spans="2:6" x14ac:dyDescent="0.35">
      <c r="B662" s="25" t="s">
        <v>351</v>
      </c>
      <c r="C662" s="43">
        <v>1</v>
      </c>
      <c r="D662" s="44" t="s">
        <v>1427</v>
      </c>
      <c r="E662" s="43">
        <v>1</v>
      </c>
      <c r="F662" s="42"/>
    </row>
    <row r="663" spans="2:6" x14ac:dyDescent="0.35">
      <c r="B663" s="25" t="s">
        <v>351</v>
      </c>
      <c r="C663" s="43">
        <v>2</v>
      </c>
      <c r="D663" s="44" t="s">
        <v>1428</v>
      </c>
      <c r="E663" s="43">
        <v>1</v>
      </c>
      <c r="F663" s="42"/>
    </row>
    <row r="664" spans="2:6" x14ac:dyDescent="0.35">
      <c r="B664" s="25" t="s">
        <v>351</v>
      </c>
      <c r="C664" s="43">
        <v>3</v>
      </c>
      <c r="D664" s="44" t="s">
        <v>1429</v>
      </c>
      <c r="E664" s="43">
        <v>1</v>
      </c>
      <c r="F664" s="42"/>
    </row>
    <row r="665" spans="2:6" x14ac:dyDescent="0.35">
      <c r="B665" s="25" t="s">
        <v>351</v>
      </c>
      <c r="C665" s="43">
        <v>4</v>
      </c>
      <c r="D665" s="44" t="s">
        <v>1430</v>
      </c>
      <c r="E665" s="43">
        <v>1</v>
      </c>
      <c r="F665" s="42"/>
    </row>
    <row r="666" spans="2:6" x14ac:dyDescent="0.35">
      <c r="B666" s="25" t="s">
        <v>351</v>
      </c>
      <c r="C666" s="43">
        <v>5</v>
      </c>
      <c r="D666" s="44" t="s">
        <v>1431</v>
      </c>
      <c r="E666" s="43">
        <v>1</v>
      </c>
      <c r="F666" s="42"/>
    </row>
    <row r="667" spans="2:6" x14ac:dyDescent="0.35">
      <c r="B667" s="25" t="s">
        <v>387</v>
      </c>
      <c r="C667" s="43">
        <v>1</v>
      </c>
      <c r="D667" s="44" t="s">
        <v>1432</v>
      </c>
      <c r="E667" s="43">
        <v>1</v>
      </c>
      <c r="F667" s="42"/>
    </row>
    <row r="668" spans="2:6" x14ac:dyDescent="0.35">
      <c r="B668" s="25" t="s">
        <v>387</v>
      </c>
      <c r="C668" s="43">
        <v>2</v>
      </c>
      <c r="D668" s="44" t="s">
        <v>1433</v>
      </c>
      <c r="E668" s="43">
        <v>1</v>
      </c>
      <c r="F668" s="42"/>
    </row>
    <row r="669" spans="2:6" x14ac:dyDescent="0.35">
      <c r="B669" s="25" t="s">
        <v>387</v>
      </c>
      <c r="C669" s="43">
        <v>3</v>
      </c>
      <c r="D669" s="44" t="s">
        <v>1434</v>
      </c>
      <c r="E669" s="43">
        <v>1</v>
      </c>
      <c r="F669" s="42"/>
    </row>
    <row r="670" spans="2:6" x14ac:dyDescent="0.35">
      <c r="B670" s="25" t="s">
        <v>387</v>
      </c>
      <c r="C670" s="43">
        <v>4</v>
      </c>
      <c r="D670" s="44" t="s">
        <v>1435</v>
      </c>
      <c r="E670" s="43">
        <v>1</v>
      </c>
      <c r="F670" s="42"/>
    </row>
    <row r="671" spans="2:6" x14ac:dyDescent="0.35">
      <c r="B671" s="25" t="s">
        <v>387</v>
      </c>
      <c r="C671" s="43">
        <v>5</v>
      </c>
      <c r="D671" s="44" t="s">
        <v>1436</v>
      </c>
      <c r="E671" s="43">
        <v>1</v>
      </c>
      <c r="F671" s="42"/>
    </row>
    <row r="672" spans="2:6" x14ac:dyDescent="0.35">
      <c r="B672" s="25" t="s">
        <v>387</v>
      </c>
      <c r="C672" s="43">
        <v>6</v>
      </c>
      <c r="D672" s="44" t="s">
        <v>1437</v>
      </c>
      <c r="E672" s="43">
        <v>1</v>
      </c>
      <c r="F672" s="42"/>
    </row>
    <row r="673" spans="2:6" x14ac:dyDescent="0.35">
      <c r="B673" s="25" t="s">
        <v>387</v>
      </c>
      <c r="C673" s="43">
        <v>7</v>
      </c>
      <c r="D673" s="44" t="s">
        <v>1438</v>
      </c>
      <c r="E673" s="43">
        <v>1</v>
      </c>
      <c r="F673" s="42"/>
    </row>
    <row r="674" spans="2:6" x14ac:dyDescent="0.35">
      <c r="B674" s="25" t="s">
        <v>387</v>
      </c>
      <c r="C674" s="43">
        <v>8</v>
      </c>
      <c r="D674" s="44" t="s">
        <v>1439</v>
      </c>
      <c r="E674" s="43">
        <v>1</v>
      </c>
      <c r="F674" s="42"/>
    </row>
    <row r="675" spans="2:6" x14ac:dyDescent="0.35">
      <c r="B675" s="25" t="s">
        <v>387</v>
      </c>
      <c r="C675" s="43">
        <v>9</v>
      </c>
      <c r="D675" s="44" t="s">
        <v>1440</v>
      </c>
      <c r="E675" s="43">
        <v>1</v>
      </c>
      <c r="F675" s="42"/>
    </row>
    <row r="676" spans="2:6" x14ac:dyDescent="0.35">
      <c r="B676" s="25" t="s">
        <v>387</v>
      </c>
      <c r="C676" s="43">
        <v>10</v>
      </c>
      <c r="D676" s="44" t="s">
        <v>1441</v>
      </c>
      <c r="E676" s="43">
        <v>1</v>
      </c>
      <c r="F676" s="42"/>
    </row>
    <row r="677" spans="2:6" x14ac:dyDescent="0.35">
      <c r="B677" s="25" t="s">
        <v>387</v>
      </c>
      <c r="C677" s="43">
        <v>11</v>
      </c>
      <c r="D677" s="44" t="s">
        <v>1442</v>
      </c>
      <c r="E677" s="43">
        <v>1</v>
      </c>
      <c r="F677" s="42"/>
    </row>
    <row r="678" spans="2:6" x14ac:dyDescent="0.35">
      <c r="B678" s="25" t="s">
        <v>387</v>
      </c>
      <c r="C678" s="43">
        <v>12</v>
      </c>
      <c r="D678" s="44" t="s">
        <v>1443</v>
      </c>
      <c r="E678" s="43">
        <v>1</v>
      </c>
      <c r="F678" s="42"/>
    </row>
    <row r="679" spans="2:6" x14ac:dyDescent="0.35">
      <c r="B679" s="25" t="s">
        <v>387</v>
      </c>
      <c r="C679" s="43">
        <v>13</v>
      </c>
      <c r="D679" s="44" t="s">
        <v>1444</v>
      </c>
      <c r="E679" s="43">
        <v>1</v>
      </c>
      <c r="F679" s="42"/>
    </row>
    <row r="680" spans="2:6" x14ac:dyDescent="0.35">
      <c r="B680" s="25" t="s">
        <v>387</v>
      </c>
      <c r="C680" s="43">
        <v>14</v>
      </c>
      <c r="D680" s="44" t="s">
        <v>1445</v>
      </c>
      <c r="E680" s="43">
        <v>1</v>
      </c>
      <c r="F680" s="42"/>
    </row>
    <row r="681" spans="2:6" x14ac:dyDescent="0.35">
      <c r="B681" s="25" t="s">
        <v>387</v>
      </c>
      <c r="C681" s="43">
        <v>15</v>
      </c>
      <c r="D681" s="44" t="s">
        <v>1446</v>
      </c>
      <c r="E681" s="43">
        <v>1</v>
      </c>
      <c r="F681" s="42"/>
    </row>
    <row r="682" spans="2:6" x14ac:dyDescent="0.35">
      <c r="B682" s="25" t="s">
        <v>387</v>
      </c>
      <c r="C682" s="43">
        <v>16</v>
      </c>
      <c r="D682" s="44" t="s">
        <v>1447</v>
      </c>
      <c r="E682" s="43">
        <v>1</v>
      </c>
      <c r="F682" s="42"/>
    </row>
    <row r="683" spans="2:6" x14ac:dyDescent="0.35">
      <c r="B683" s="25" t="s">
        <v>387</v>
      </c>
      <c r="C683" s="43">
        <v>17</v>
      </c>
      <c r="D683" s="44" t="s">
        <v>1448</v>
      </c>
      <c r="E683" s="43">
        <v>1</v>
      </c>
      <c r="F683" s="42"/>
    </row>
    <row r="684" spans="2:6" x14ac:dyDescent="0.35">
      <c r="B684" s="25" t="s">
        <v>387</v>
      </c>
      <c r="C684" s="43">
        <v>18</v>
      </c>
      <c r="D684" s="44" t="s">
        <v>1449</v>
      </c>
      <c r="E684" s="43">
        <v>1</v>
      </c>
      <c r="F684" s="42"/>
    </row>
    <row r="685" spans="2:6" x14ac:dyDescent="0.35">
      <c r="B685" s="25" t="s">
        <v>406</v>
      </c>
      <c r="C685" s="43">
        <v>0</v>
      </c>
      <c r="D685" s="44" t="s">
        <v>1450</v>
      </c>
      <c r="E685" s="43">
        <v>1</v>
      </c>
      <c r="F685" s="42"/>
    </row>
    <row r="686" spans="2:6" x14ac:dyDescent="0.35">
      <c r="B686" s="25" t="s">
        <v>406</v>
      </c>
      <c r="C686" s="43">
        <v>30001</v>
      </c>
      <c r="D686" s="44" t="s">
        <v>1451</v>
      </c>
      <c r="E686" s="43">
        <v>1</v>
      </c>
      <c r="F686" s="42"/>
    </row>
    <row r="687" spans="2:6" x14ac:dyDescent="0.35">
      <c r="B687" s="25" t="s">
        <v>406</v>
      </c>
      <c r="C687" s="43">
        <v>30002</v>
      </c>
      <c r="D687" s="44" t="s">
        <v>1452</v>
      </c>
      <c r="E687" s="43">
        <v>1</v>
      </c>
      <c r="F687" s="42"/>
    </row>
    <row r="688" spans="2:6" x14ac:dyDescent="0.35">
      <c r="B688" s="25" t="s">
        <v>406</v>
      </c>
      <c r="C688" s="43">
        <v>30003</v>
      </c>
      <c r="D688" s="44" t="s">
        <v>1453</v>
      </c>
      <c r="E688" s="43">
        <v>1</v>
      </c>
      <c r="F688" s="42"/>
    </row>
    <row r="689" spans="2:6" x14ac:dyDescent="0.35">
      <c r="B689" s="25" t="s">
        <v>406</v>
      </c>
      <c r="C689" s="43">
        <v>30004</v>
      </c>
      <c r="D689" s="44" t="s">
        <v>1454</v>
      </c>
      <c r="E689" s="43">
        <v>1</v>
      </c>
      <c r="F689" s="42"/>
    </row>
    <row r="690" spans="2:6" ht="29" x14ac:dyDescent="0.35">
      <c r="B690" s="25" t="s">
        <v>406</v>
      </c>
      <c r="C690" s="43">
        <v>30005</v>
      </c>
      <c r="D690" s="44" t="s">
        <v>1455</v>
      </c>
      <c r="E690" s="43">
        <v>1</v>
      </c>
      <c r="F690" s="42"/>
    </row>
    <row r="691" spans="2:6" x14ac:dyDescent="0.35">
      <c r="B691" s="25" t="s">
        <v>406</v>
      </c>
      <c r="C691" s="43">
        <v>30006</v>
      </c>
      <c r="D691" s="44" t="s">
        <v>1456</v>
      </c>
      <c r="E691" s="43">
        <v>1</v>
      </c>
      <c r="F691" s="42"/>
    </row>
    <row r="692" spans="2:6" ht="29" x14ac:dyDescent="0.35">
      <c r="B692" s="25" t="s">
        <v>406</v>
      </c>
      <c r="C692" s="43">
        <v>30007</v>
      </c>
      <c r="D692" s="44" t="s">
        <v>1457</v>
      </c>
      <c r="E692" s="43">
        <v>1</v>
      </c>
      <c r="F692" s="42"/>
    </row>
    <row r="693" spans="2:6" x14ac:dyDescent="0.35">
      <c r="B693" s="25" t="s">
        <v>406</v>
      </c>
      <c r="C693" s="43">
        <v>30008</v>
      </c>
      <c r="D693" s="44" t="s">
        <v>1458</v>
      </c>
      <c r="E693" s="43">
        <v>1</v>
      </c>
      <c r="F693" s="42"/>
    </row>
    <row r="694" spans="2:6" x14ac:dyDescent="0.35">
      <c r="B694" s="25" t="s">
        <v>406</v>
      </c>
      <c r="C694" s="43">
        <v>30009</v>
      </c>
      <c r="D694" s="44" t="s">
        <v>1459</v>
      </c>
      <c r="E694" s="43">
        <v>1</v>
      </c>
      <c r="F694" s="42"/>
    </row>
    <row r="695" spans="2:6" x14ac:dyDescent="0.35">
      <c r="B695" s="25" t="s">
        <v>406</v>
      </c>
      <c r="C695" s="43">
        <v>30010</v>
      </c>
      <c r="D695" s="44" t="s">
        <v>1460</v>
      </c>
      <c r="E695" s="43">
        <v>1</v>
      </c>
      <c r="F695" s="42"/>
    </row>
    <row r="696" spans="2:6" ht="29" x14ac:dyDescent="0.35">
      <c r="B696" s="25" t="s">
        <v>406</v>
      </c>
      <c r="C696" s="43">
        <v>30011</v>
      </c>
      <c r="D696" s="44" t="s">
        <v>1461</v>
      </c>
      <c r="E696" s="43">
        <v>1</v>
      </c>
      <c r="F696" s="42"/>
    </row>
    <row r="697" spans="2:6" x14ac:dyDescent="0.35">
      <c r="B697" s="25" t="s">
        <v>406</v>
      </c>
      <c r="C697" s="43">
        <v>30012</v>
      </c>
      <c r="D697" s="44" t="s">
        <v>1462</v>
      </c>
      <c r="E697" s="43">
        <v>1</v>
      </c>
      <c r="F697" s="42"/>
    </row>
    <row r="698" spans="2:6" x14ac:dyDescent="0.35">
      <c r="B698" s="25" t="s">
        <v>406</v>
      </c>
      <c r="C698" s="43">
        <v>30013</v>
      </c>
      <c r="D698" s="44" t="s">
        <v>1463</v>
      </c>
      <c r="E698" s="43">
        <v>1</v>
      </c>
      <c r="F698" s="42"/>
    </row>
    <row r="699" spans="2:6" x14ac:dyDescent="0.35">
      <c r="B699" s="25" t="s">
        <v>406</v>
      </c>
      <c r="C699" s="43">
        <v>30014</v>
      </c>
      <c r="D699" s="44" t="s">
        <v>1464</v>
      </c>
      <c r="E699" s="43">
        <v>1</v>
      </c>
      <c r="F699" s="42"/>
    </row>
    <row r="700" spans="2:6" x14ac:dyDescent="0.35">
      <c r="B700" s="25" t="s">
        <v>406</v>
      </c>
      <c r="C700" s="43">
        <v>30015</v>
      </c>
      <c r="D700" s="44" t="s">
        <v>1465</v>
      </c>
      <c r="E700" s="43">
        <v>1</v>
      </c>
      <c r="F700" s="42"/>
    </row>
    <row r="701" spans="2:6" x14ac:dyDescent="0.35">
      <c r="B701" s="25" t="s">
        <v>406</v>
      </c>
      <c r="C701" s="43">
        <v>30016</v>
      </c>
      <c r="D701" s="44" t="s">
        <v>1466</v>
      </c>
      <c r="E701" s="43">
        <v>1</v>
      </c>
      <c r="F701" s="42"/>
    </row>
    <row r="702" spans="2:6" x14ac:dyDescent="0.35">
      <c r="B702" s="25" t="s">
        <v>406</v>
      </c>
      <c r="C702" s="43">
        <v>30017</v>
      </c>
      <c r="D702" s="44" t="s">
        <v>1467</v>
      </c>
      <c r="E702" s="43">
        <v>1</v>
      </c>
      <c r="F702" s="42"/>
    </row>
    <row r="703" spans="2:6" x14ac:dyDescent="0.35">
      <c r="B703" s="25" t="s">
        <v>406</v>
      </c>
      <c r="C703" s="43">
        <v>30018</v>
      </c>
      <c r="D703" s="44" t="s">
        <v>1468</v>
      </c>
      <c r="E703" s="43">
        <v>1</v>
      </c>
      <c r="F703" s="42"/>
    </row>
    <row r="704" spans="2:6" x14ac:dyDescent="0.35">
      <c r="B704" s="25" t="s">
        <v>406</v>
      </c>
      <c r="C704" s="43">
        <v>30019</v>
      </c>
      <c r="D704" s="44" t="s">
        <v>1469</v>
      </c>
      <c r="E704" s="43">
        <v>1</v>
      </c>
      <c r="F704" s="42"/>
    </row>
    <row r="705" spans="2:6" x14ac:dyDescent="0.35">
      <c r="B705" s="25" t="s">
        <v>406</v>
      </c>
      <c r="C705" s="43">
        <v>30020</v>
      </c>
      <c r="D705" s="44" t="s">
        <v>1470</v>
      </c>
      <c r="E705" s="43">
        <v>1</v>
      </c>
      <c r="F705" s="42"/>
    </row>
    <row r="706" spans="2:6" ht="29" x14ac:dyDescent="0.35">
      <c r="B706" s="25" t="s">
        <v>406</v>
      </c>
      <c r="C706" s="47">
        <v>30021</v>
      </c>
      <c r="D706" s="44" t="s">
        <v>1471</v>
      </c>
      <c r="E706" s="43">
        <v>1</v>
      </c>
      <c r="F706" s="42"/>
    </row>
    <row r="707" spans="2:6" ht="29" x14ac:dyDescent="0.35">
      <c r="B707" s="25" t="s">
        <v>406</v>
      </c>
      <c r="C707" s="43">
        <v>30022</v>
      </c>
      <c r="D707" s="44" t="s">
        <v>1472</v>
      </c>
      <c r="E707" s="43">
        <v>1</v>
      </c>
      <c r="F707" s="42"/>
    </row>
    <row r="708" spans="2:6" ht="29" x14ac:dyDescent="0.35">
      <c r="B708" s="25" t="s">
        <v>406</v>
      </c>
      <c r="C708" s="43">
        <v>30023</v>
      </c>
      <c r="D708" s="44" t="s">
        <v>1473</v>
      </c>
      <c r="E708" s="43">
        <v>1</v>
      </c>
      <c r="F708" s="42"/>
    </row>
    <row r="709" spans="2:6" ht="29" x14ac:dyDescent="0.35">
      <c r="B709" s="25" t="s">
        <v>406</v>
      </c>
      <c r="C709" s="43">
        <v>30024</v>
      </c>
      <c r="D709" s="44" t="s">
        <v>1474</v>
      </c>
      <c r="E709" s="43">
        <v>1</v>
      </c>
      <c r="F709" s="42"/>
    </row>
    <row r="710" spans="2:6" ht="43.5" x14ac:dyDescent="0.35">
      <c r="B710" s="25" t="s">
        <v>406</v>
      </c>
      <c r="C710" s="43">
        <v>30025</v>
      </c>
      <c r="D710" s="44" t="s">
        <v>1475</v>
      </c>
      <c r="E710" s="43">
        <v>1</v>
      </c>
      <c r="F710" s="42"/>
    </row>
    <row r="711" spans="2:6" x14ac:dyDescent="0.35">
      <c r="B711" s="25" t="s">
        <v>406</v>
      </c>
      <c r="C711" s="43">
        <v>30026</v>
      </c>
      <c r="D711" s="44" t="s">
        <v>1476</v>
      </c>
      <c r="E711" s="43">
        <v>1</v>
      </c>
      <c r="F711" s="42"/>
    </row>
    <row r="712" spans="2:6" x14ac:dyDescent="0.35">
      <c r="B712" s="25" t="s">
        <v>406</v>
      </c>
      <c r="C712" s="43">
        <v>30027</v>
      </c>
      <c r="D712" s="44" t="s">
        <v>1477</v>
      </c>
      <c r="E712" s="43">
        <v>1</v>
      </c>
      <c r="F712" s="42"/>
    </row>
    <row r="713" spans="2:6" x14ac:dyDescent="0.35">
      <c r="B713" s="25" t="s">
        <v>406</v>
      </c>
      <c r="C713" s="43">
        <v>30028</v>
      </c>
      <c r="D713" s="44" t="s">
        <v>1478</v>
      </c>
      <c r="E713" s="43">
        <v>1</v>
      </c>
      <c r="F713" s="42"/>
    </row>
    <row r="714" spans="2:6" x14ac:dyDescent="0.35">
      <c r="B714" s="25" t="s">
        <v>409</v>
      </c>
      <c r="C714" s="43">
        <v>0</v>
      </c>
      <c r="D714" s="44" t="s">
        <v>1479</v>
      </c>
      <c r="E714" s="43">
        <v>1</v>
      </c>
      <c r="F714" s="42"/>
    </row>
    <row r="715" spans="2:6" x14ac:dyDescent="0.35">
      <c r="B715" s="25" t="s">
        <v>409</v>
      </c>
      <c r="C715" s="43">
        <v>1</v>
      </c>
      <c r="D715" s="44" t="s">
        <v>1480</v>
      </c>
      <c r="E715" s="43">
        <v>1</v>
      </c>
      <c r="F715" s="42"/>
    </row>
    <row r="716" spans="2:6" x14ac:dyDescent="0.35">
      <c r="B716" s="25" t="s">
        <v>409</v>
      </c>
      <c r="C716" s="43">
        <v>2</v>
      </c>
      <c r="D716" s="44" t="s">
        <v>1481</v>
      </c>
      <c r="E716" s="43">
        <v>1</v>
      </c>
      <c r="F716" s="42"/>
    </row>
    <row r="717" spans="2:6" x14ac:dyDescent="0.35">
      <c r="B717" s="25" t="s">
        <v>409</v>
      </c>
      <c r="C717" s="43">
        <v>3</v>
      </c>
      <c r="D717" s="44" t="s">
        <v>1482</v>
      </c>
      <c r="E717" s="43">
        <v>1</v>
      </c>
      <c r="F717" s="42"/>
    </row>
    <row r="718" spans="2:6" x14ac:dyDescent="0.35">
      <c r="B718" s="25" t="s">
        <v>409</v>
      </c>
      <c r="C718" s="43">
        <v>4</v>
      </c>
      <c r="D718" s="44" t="s">
        <v>1483</v>
      </c>
      <c r="E718" s="43">
        <v>1</v>
      </c>
      <c r="F718" s="42"/>
    </row>
    <row r="719" spans="2:6" x14ac:dyDescent="0.35">
      <c r="B719" s="25" t="s">
        <v>409</v>
      </c>
      <c r="C719" s="43">
        <v>5</v>
      </c>
      <c r="D719" s="44" t="s">
        <v>1484</v>
      </c>
      <c r="E719" s="43">
        <v>1</v>
      </c>
      <c r="F719" s="42"/>
    </row>
    <row r="720" spans="2:6" x14ac:dyDescent="0.35">
      <c r="B720" s="25" t="s">
        <v>409</v>
      </c>
      <c r="C720" s="43">
        <v>6</v>
      </c>
      <c r="D720" s="44" t="s">
        <v>1485</v>
      </c>
      <c r="E720" s="43">
        <v>1</v>
      </c>
      <c r="F720" s="42"/>
    </row>
    <row r="721" spans="2:6" x14ac:dyDescent="0.35">
      <c r="B721" s="25" t="s">
        <v>409</v>
      </c>
      <c r="C721" s="43">
        <v>7</v>
      </c>
      <c r="D721" s="44" t="s">
        <v>1486</v>
      </c>
      <c r="E721" s="43">
        <v>1</v>
      </c>
      <c r="F721" s="42"/>
    </row>
    <row r="722" spans="2:6" x14ac:dyDescent="0.35">
      <c r="B722" s="25" t="s">
        <v>409</v>
      </c>
      <c r="C722" s="43">
        <v>8</v>
      </c>
      <c r="D722" s="44" t="s">
        <v>1487</v>
      </c>
      <c r="E722" s="43">
        <v>1</v>
      </c>
      <c r="F722" s="42"/>
    </row>
    <row r="723" spans="2:6" x14ac:dyDescent="0.35">
      <c r="B723" s="25" t="s">
        <v>409</v>
      </c>
      <c r="C723" s="43">
        <v>9</v>
      </c>
      <c r="D723" s="44" t="s">
        <v>1488</v>
      </c>
      <c r="E723" s="43">
        <v>1</v>
      </c>
      <c r="F723" s="42"/>
    </row>
    <row r="724" spans="2:6" x14ac:dyDescent="0.35">
      <c r="B724" s="25" t="s">
        <v>409</v>
      </c>
      <c r="C724" s="43">
        <v>10</v>
      </c>
      <c r="D724" s="44" t="s">
        <v>1489</v>
      </c>
      <c r="E724" s="43">
        <v>1</v>
      </c>
      <c r="F724" s="42"/>
    </row>
    <row r="725" spans="2:6" x14ac:dyDescent="0.35">
      <c r="B725" s="25" t="s">
        <v>409</v>
      </c>
      <c r="C725" s="43">
        <v>11</v>
      </c>
      <c r="D725" s="44" t="s">
        <v>1490</v>
      </c>
      <c r="E725" s="43">
        <v>1</v>
      </c>
      <c r="F725" s="42"/>
    </row>
    <row r="726" spans="2:6" x14ac:dyDescent="0.35">
      <c r="B726" s="25" t="s">
        <v>409</v>
      </c>
      <c r="C726" s="43">
        <v>12</v>
      </c>
      <c r="D726" s="44" t="s">
        <v>1491</v>
      </c>
      <c r="E726" s="43">
        <v>1</v>
      </c>
      <c r="F726" s="42"/>
    </row>
    <row r="727" spans="2:6" x14ac:dyDescent="0.35">
      <c r="B727" s="25" t="s">
        <v>409</v>
      </c>
      <c r="C727" s="43">
        <v>13</v>
      </c>
      <c r="D727" s="44" t="s">
        <v>1492</v>
      </c>
      <c r="E727" s="43">
        <v>1</v>
      </c>
      <c r="F727" s="42"/>
    </row>
    <row r="728" spans="2:6" x14ac:dyDescent="0.35">
      <c r="B728" s="48" t="s">
        <v>401</v>
      </c>
      <c r="C728" s="49">
        <v>1</v>
      </c>
      <c r="D728" s="50" t="s">
        <v>1493</v>
      </c>
      <c r="E728" s="49">
        <v>1</v>
      </c>
      <c r="F728" s="51" t="s">
        <v>1494</v>
      </c>
    </row>
    <row r="729" spans="2:6" x14ac:dyDescent="0.35">
      <c r="B729" s="52" t="s">
        <v>401</v>
      </c>
      <c r="C729" s="53">
        <v>2</v>
      </c>
      <c r="D729" s="54" t="s">
        <v>1495</v>
      </c>
      <c r="E729" s="53">
        <v>0</v>
      </c>
      <c r="F729" s="55" t="s">
        <v>1494</v>
      </c>
    </row>
    <row r="730" spans="2:6" ht="29" x14ac:dyDescent="0.35">
      <c r="B730" s="48" t="s">
        <v>401</v>
      </c>
      <c r="C730" s="49">
        <v>3</v>
      </c>
      <c r="D730" s="50" t="s">
        <v>1496</v>
      </c>
      <c r="E730" s="49">
        <v>1</v>
      </c>
      <c r="F730" s="51" t="s">
        <v>1494</v>
      </c>
    </row>
    <row r="731" spans="2:6" ht="29" x14ac:dyDescent="0.35">
      <c r="B731" s="48" t="s">
        <v>401</v>
      </c>
      <c r="C731" s="49">
        <v>4</v>
      </c>
      <c r="D731" s="50" t="s">
        <v>1497</v>
      </c>
      <c r="E731" s="49">
        <v>1</v>
      </c>
      <c r="F731" s="51" t="s">
        <v>1494</v>
      </c>
    </row>
    <row r="732" spans="2:6" x14ac:dyDescent="0.35">
      <c r="B732" s="48" t="s">
        <v>401</v>
      </c>
      <c r="C732" s="49">
        <v>5</v>
      </c>
      <c r="D732" s="50" t="s">
        <v>1498</v>
      </c>
      <c r="E732" s="49">
        <v>1</v>
      </c>
      <c r="F732" s="51" t="s">
        <v>1499</v>
      </c>
    </row>
    <row r="733" spans="2:6" ht="29" x14ac:dyDescent="0.35">
      <c r="B733" s="48" t="s">
        <v>357</v>
      </c>
      <c r="C733" s="49">
        <v>1</v>
      </c>
      <c r="D733" s="50" t="s">
        <v>1500</v>
      </c>
      <c r="E733" s="49">
        <v>1</v>
      </c>
      <c r="F733" s="51"/>
    </row>
    <row r="734" spans="2:6" ht="29" x14ac:dyDescent="0.35">
      <c r="B734" s="52" t="s">
        <v>357</v>
      </c>
      <c r="C734" s="53">
        <v>2</v>
      </c>
      <c r="D734" s="54" t="s">
        <v>1501</v>
      </c>
      <c r="E734" s="53">
        <v>0</v>
      </c>
      <c r="F734" s="55"/>
    </row>
    <row r="735" spans="2:6" ht="29" x14ac:dyDescent="0.35">
      <c r="B735" s="52" t="s">
        <v>357</v>
      </c>
      <c r="C735" s="53">
        <v>3</v>
      </c>
      <c r="D735" s="54" t="s">
        <v>1502</v>
      </c>
      <c r="E735" s="53">
        <v>0</v>
      </c>
      <c r="F735" s="55"/>
    </row>
    <row r="736" spans="2:6" x14ac:dyDescent="0.35">
      <c r="B736" s="48" t="s">
        <v>357</v>
      </c>
      <c r="C736" s="49">
        <v>4</v>
      </c>
      <c r="D736" s="50" t="s">
        <v>1503</v>
      </c>
      <c r="E736" s="49">
        <v>1</v>
      </c>
      <c r="F736" s="51"/>
    </row>
    <row r="737" spans="2:6" ht="43.5" x14ac:dyDescent="0.35">
      <c r="B737" s="48" t="s">
        <v>357</v>
      </c>
      <c r="C737" s="49">
        <v>5</v>
      </c>
      <c r="D737" s="50" t="s">
        <v>1504</v>
      </c>
      <c r="E737" s="49">
        <v>1</v>
      </c>
      <c r="F737" s="51"/>
    </row>
    <row r="738" spans="2:6" ht="43.5" x14ac:dyDescent="0.35">
      <c r="B738" s="48" t="s">
        <v>357</v>
      </c>
      <c r="C738" s="49">
        <v>6</v>
      </c>
      <c r="D738" s="50" t="s">
        <v>1505</v>
      </c>
      <c r="E738" s="49">
        <v>1</v>
      </c>
      <c r="F738" s="51"/>
    </row>
    <row r="739" spans="2:6" ht="58" x14ac:dyDescent="0.35">
      <c r="B739" s="48" t="s">
        <v>357</v>
      </c>
      <c r="C739" s="49">
        <v>7</v>
      </c>
      <c r="D739" s="50" t="s">
        <v>1506</v>
      </c>
      <c r="E739" s="49">
        <v>1</v>
      </c>
      <c r="F739" s="51"/>
    </row>
    <row r="740" spans="2:6" ht="43.5" x14ac:dyDescent="0.35">
      <c r="B740" s="52" t="s">
        <v>357</v>
      </c>
      <c r="C740" s="53">
        <v>8</v>
      </c>
      <c r="D740" s="54" t="s">
        <v>1507</v>
      </c>
      <c r="E740" s="53">
        <v>0</v>
      </c>
      <c r="F740" s="55"/>
    </row>
    <row r="741" spans="2:6" ht="58" x14ac:dyDescent="0.35">
      <c r="B741" s="52" t="s">
        <v>357</v>
      </c>
      <c r="C741" s="53">
        <v>9</v>
      </c>
      <c r="D741" s="54" t="s">
        <v>1508</v>
      </c>
      <c r="E741" s="53">
        <v>0</v>
      </c>
      <c r="F741" s="55"/>
    </row>
    <row r="742" spans="2:6" ht="58" x14ac:dyDescent="0.35">
      <c r="B742" s="52" t="s">
        <v>357</v>
      </c>
      <c r="C742" s="53">
        <v>10</v>
      </c>
      <c r="D742" s="54" t="s">
        <v>1509</v>
      </c>
      <c r="E742" s="53">
        <v>0</v>
      </c>
      <c r="F742" s="55"/>
    </row>
    <row r="743" spans="2:6" ht="58" x14ac:dyDescent="0.35">
      <c r="B743" s="52" t="s">
        <v>357</v>
      </c>
      <c r="C743" s="53">
        <v>11</v>
      </c>
      <c r="D743" s="54" t="s">
        <v>1510</v>
      </c>
      <c r="E743" s="53">
        <v>0</v>
      </c>
      <c r="F743" s="55"/>
    </row>
    <row r="744" spans="2:6" x14ac:dyDescent="0.35">
      <c r="B744" s="48" t="s">
        <v>357</v>
      </c>
      <c r="C744" s="49">
        <v>12</v>
      </c>
      <c r="D744" s="50" t="s">
        <v>1511</v>
      </c>
      <c r="E744" s="49">
        <v>1</v>
      </c>
      <c r="F744" s="51"/>
    </row>
    <row r="745" spans="2:6" x14ac:dyDescent="0.35">
      <c r="B745" s="25" t="s">
        <v>399</v>
      </c>
      <c r="C745" s="27">
        <v>102</v>
      </c>
      <c r="D745" s="26" t="s">
        <v>1512</v>
      </c>
      <c r="E745" s="27">
        <v>1</v>
      </c>
      <c r="F745" s="42"/>
    </row>
    <row r="746" spans="2:6" x14ac:dyDescent="0.35">
      <c r="B746" s="25" t="s">
        <v>399</v>
      </c>
      <c r="C746" s="27">
        <v>104</v>
      </c>
      <c r="D746" s="26" t="s">
        <v>1513</v>
      </c>
      <c r="E746" s="27">
        <v>1</v>
      </c>
      <c r="F746" s="42"/>
    </row>
    <row r="747" spans="2:6" x14ac:dyDescent="0.35">
      <c r="B747" s="25" t="s">
        <v>399</v>
      </c>
      <c r="C747" s="27">
        <v>106</v>
      </c>
      <c r="D747" s="26" t="s">
        <v>1514</v>
      </c>
      <c r="E747" s="27">
        <v>1</v>
      </c>
      <c r="F747" s="42"/>
    </row>
    <row r="748" spans="2:6" ht="29" x14ac:dyDescent="0.35">
      <c r="B748" s="25" t="s">
        <v>399</v>
      </c>
      <c r="C748" s="27">
        <v>108</v>
      </c>
      <c r="D748" s="26" t="s">
        <v>1515</v>
      </c>
      <c r="E748" s="27">
        <v>1</v>
      </c>
      <c r="F748" s="42"/>
    </row>
    <row r="749" spans="2:6" x14ac:dyDescent="0.35">
      <c r="B749" s="25" t="s">
        <v>399</v>
      </c>
      <c r="C749" s="27">
        <v>110</v>
      </c>
      <c r="D749" s="26" t="s">
        <v>1516</v>
      </c>
      <c r="E749" s="27">
        <v>1</v>
      </c>
      <c r="F749" s="42"/>
    </row>
    <row r="750" spans="2:6" x14ac:dyDescent="0.35">
      <c r="B750" s="25" t="s">
        <v>399</v>
      </c>
      <c r="C750" s="27">
        <v>112</v>
      </c>
      <c r="D750" s="26" t="s">
        <v>1517</v>
      </c>
      <c r="E750" s="27">
        <v>1</v>
      </c>
      <c r="F750" s="42"/>
    </row>
    <row r="751" spans="2:6" ht="29" x14ac:dyDescent="0.35">
      <c r="B751" s="25" t="s">
        <v>399</v>
      </c>
      <c r="C751" s="27">
        <v>114</v>
      </c>
      <c r="D751" s="26" t="s">
        <v>1518</v>
      </c>
      <c r="E751" s="27">
        <v>1</v>
      </c>
      <c r="F751" s="42"/>
    </row>
    <row r="752" spans="2:6" x14ac:dyDescent="0.35">
      <c r="B752" s="25" t="s">
        <v>399</v>
      </c>
      <c r="C752" s="27">
        <v>116</v>
      </c>
      <c r="D752" s="26" t="s">
        <v>1519</v>
      </c>
      <c r="E752" s="27">
        <v>1</v>
      </c>
      <c r="F752" s="42"/>
    </row>
    <row r="753" spans="2:6" x14ac:dyDescent="0.35">
      <c r="B753" s="25" t="s">
        <v>399</v>
      </c>
      <c r="C753" s="27">
        <v>118</v>
      </c>
      <c r="D753" s="26" t="s">
        <v>1520</v>
      </c>
      <c r="E753" s="27">
        <v>1</v>
      </c>
      <c r="F753" s="42"/>
    </row>
    <row r="754" spans="2:6" ht="29" x14ac:dyDescent="0.35">
      <c r="B754" s="25" t="s">
        <v>399</v>
      </c>
      <c r="C754" s="27">
        <v>120</v>
      </c>
      <c r="D754" s="26" t="s">
        <v>1521</v>
      </c>
      <c r="E754" s="27">
        <v>1</v>
      </c>
      <c r="F754" s="42"/>
    </row>
    <row r="755" spans="2:6" ht="29" x14ac:dyDescent="0.35">
      <c r="B755" s="25" t="s">
        <v>399</v>
      </c>
      <c r="C755" s="27">
        <v>125</v>
      </c>
      <c r="D755" s="26" t="s">
        <v>1522</v>
      </c>
      <c r="E755" s="27">
        <v>1</v>
      </c>
      <c r="F755" s="42"/>
    </row>
    <row r="756" spans="2:6" ht="29" x14ac:dyDescent="0.35">
      <c r="B756" s="25" t="s">
        <v>399</v>
      </c>
      <c r="C756" s="27">
        <v>126</v>
      </c>
      <c r="D756" s="26" t="s">
        <v>1523</v>
      </c>
      <c r="E756" s="27">
        <v>1</v>
      </c>
      <c r="F756" s="42"/>
    </row>
    <row r="757" spans="2:6" ht="29" x14ac:dyDescent="0.35">
      <c r="B757" s="25" t="s">
        <v>399</v>
      </c>
      <c r="C757" s="27">
        <v>127</v>
      </c>
      <c r="D757" s="26" t="s">
        <v>1524</v>
      </c>
      <c r="E757" s="27">
        <v>1</v>
      </c>
      <c r="F757" s="42"/>
    </row>
    <row r="758" spans="2:6" x14ac:dyDescent="0.35">
      <c r="B758" s="25" t="s">
        <v>399</v>
      </c>
      <c r="C758" s="27">
        <v>190</v>
      </c>
      <c r="D758" s="26" t="s">
        <v>1525</v>
      </c>
      <c r="E758" s="27">
        <v>1</v>
      </c>
      <c r="F758" s="42"/>
    </row>
    <row r="759" spans="2:6" x14ac:dyDescent="0.35">
      <c r="B759" s="25" t="s">
        <v>399</v>
      </c>
      <c r="C759" s="27">
        <v>202</v>
      </c>
      <c r="D759" s="26" t="s">
        <v>1526</v>
      </c>
      <c r="E759" s="27">
        <v>1</v>
      </c>
      <c r="F759" s="42"/>
    </row>
    <row r="760" spans="2:6" x14ac:dyDescent="0.35">
      <c r="B760" s="25" t="s">
        <v>399</v>
      </c>
      <c r="C760" s="27">
        <v>203</v>
      </c>
      <c r="D760" s="26" t="s">
        <v>1527</v>
      </c>
      <c r="E760" s="27">
        <v>1</v>
      </c>
      <c r="F760" s="42"/>
    </row>
    <row r="761" spans="2:6" x14ac:dyDescent="0.35">
      <c r="B761" s="25" t="s">
        <v>399</v>
      </c>
      <c r="C761" s="27">
        <v>204</v>
      </c>
      <c r="D761" s="26" t="s">
        <v>1528</v>
      </c>
      <c r="E761" s="27">
        <v>1</v>
      </c>
      <c r="F761" s="42"/>
    </row>
    <row r="762" spans="2:6" ht="29" x14ac:dyDescent="0.35">
      <c r="B762" s="25" t="s">
        <v>399</v>
      </c>
      <c r="C762" s="27">
        <v>280</v>
      </c>
      <c r="D762" s="26" t="s">
        <v>1529</v>
      </c>
      <c r="E762" s="27">
        <v>1</v>
      </c>
      <c r="F762" s="42"/>
    </row>
    <row r="763" spans="2:6" ht="29" x14ac:dyDescent="0.35">
      <c r="B763" s="25" t="s">
        <v>399</v>
      </c>
      <c r="C763" s="27">
        <v>281</v>
      </c>
      <c r="D763" s="26" t="s">
        <v>1530</v>
      </c>
      <c r="E763" s="27">
        <v>1</v>
      </c>
      <c r="F763" s="42"/>
    </row>
    <row r="764" spans="2:6" ht="29" x14ac:dyDescent="0.35">
      <c r="B764" s="25" t="s">
        <v>399</v>
      </c>
      <c r="C764" s="27">
        <v>282</v>
      </c>
      <c r="D764" s="26" t="s">
        <v>1531</v>
      </c>
      <c r="E764" s="27">
        <v>1</v>
      </c>
      <c r="F764" s="42"/>
    </row>
    <row r="765" spans="2:6" ht="29" x14ac:dyDescent="0.35">
      <c r="B765" s="25" t="s">
        <v>399</v>
      </c>
      <c r="C765" s="27">
        <v>283</v>
      </c>
      <c r="D765" s="26" t="s">
        <v>1532</v>
      </c>
      <c r="E765" s="27">
        <v>1</v>
      </c>
      <c r="F765" s="42"/>
    </row>
    <row r="766" spans="2:6" ht="29" x14ac:dyDescent="0.35">
      <c r="B766" s="25" t="s">
        <v>399</v>
      </c>
      <c r="C766" s="27">
        <v>284</v>
      </c>
      <c r="D766" s="26" t="s">
        <v>1533</v>
      </c>
      <c r="E766" s="27">
        <v>1</v>
      </c>
      <c r="F766" s="42"/>
    </row>
    <row r="767" spans="2:6" ht="29" x14ac:dyDescent="0.35">
      <c r="B767" s="25" t="s">
        <v>399</v>
      </c>
      <c r="C767" s="27">
        <v>285</v>
      </c>
      <c r="D767" s="26" t="s">
        <v>1534</v>
      </c>
      <c r="E767" s="27">
        <v>1</v>
      </c>
      <c r="F767" s="42"/>
    </row>
    <row r="768" spans="2:6" ht="29" x14ac:dyDescent="0.35">
      <c r="B768" s="25" t="s">
        <v>399</v>
      </c>
      <c r="C768" s="27">
        <v>286</v>
      </c>
      <c r="D768" s="26" t="s">
        <v>1535</v>
      </c>
      <c r="E768" s="27">
        <v>1</v>
      </c>
      <c r="F768" s="42"/>
    </row>
    <row r="769" spans="2:6" x14ac:dyDescent="0.35">
      <c r="B769" s="25" t="s">
        <v>399</v>
      </c>
      <c r="C769" s="27">
        <v>290</v>
      </c>
      <c r="D769" s="26" t="s">
        <v>1536</v>
      </c>
      <c r="E769" s="27">
        <v>1</v>
      </c>
      <c r="F769" s="42"/>
    </row>
    <row r="770" spans="2:6" ht="29" x14ac:dyDescent="0.35">
      <c r="B770" s="25" t="s">
        <v>399</v>
      </c>
      <c r="C770" s="27">
        <v>302</v>
      </c>
      <c r="D770" s="26" t="s">
        <v>1537</v>
      </c>
      <c r="E770" s="27">
        <v>1</v>
      </c>
      <c r="F770" s="42"/>
    </row>
    <row r="771" spans="2:6" ht="29" x14ac:dyDescent="0.35">
      <c r="B771" s="25" t="s">
        <v>399</v>
      </c>
      <c r="C771" s="27">
        <v>304</v>
      </c>
      <c r="D771" s="26" t="s">
        <v>1538</v>
      </c>
      <c r="E771" s="27">
        <v>1</v>
      </c>
      <c r="F771" s="42"/>
    </row>
    <row r="772" spans="2:6" x14ac:dyDescent="0.35">
      <c r="B772" s="25" t="s">
        <v>399</v>
      </c>
      <c r="C772" s="27">
        <v>306</v>
      </c>
      <c r="D772" s="26" t="s">
        <v>1539</v>
      </c>
      <c r="E772" s="27">
        <v>1</v>
      </c>
      <c r="F772" s="42"/>
    </row>
    <row r="773" spans="2:6" ht="29" x14ac:dyDescent="0.35">
      <c r="B773" s="25" t="s">
        <v>399</v>
      </c>
      <c r="C773" s="27">
        <v>308</v>
      </c>
      <c r="D773" s="26" t="s">
        <v>1540</v>
      </c>
      <c r="E773" s="27">
        <v>1</v>
      </c>
      <c r="F773" s="42"/>
    </row>
    <row r="774" spans="2:6" x14ac:dyDescent="0.35">
      <c r="B774" s="25" t="s">
        <v>399</v>
      </c>
      <c r="C774" s="27">
        <v>310</v>
      </c>
      <c r="D774" s="26" t="s">
        <v>1541</v>
      </c>
      <c r="E774" s="27">
        <v>1</v>
      </c>
      <c r="F774" s="42"/>
    </row>
    <row r="775" spans="2:6" ht="29" x14ac:dyDescent="0.35">
      <c r="B775" s="25" t="s">
        <v>399</v>
      </c>
      <c r="C775" s="27">
        <v>312</v>
      </c>
      <c r="D775" s="26" t="s">
        <v>1542</v>
      </c>
      <c r="E775" s="27">
        <v>1</v>
      </c>
      <c r="F775" s="42"/>
    </row>
    <row r="776" spans="2:6" x14ac:dyDescent="0.35">
      <c r="B776" s="25" t="s">
        <v>399</v>
      </c>
      <c r="C776" s="27">
        <v>313</v>
      </c>
      <c r="D776" s="26" t="s">
        <v>1543</v>
      </c>
      <c r="E776" s="27">
        <v>1</v>
      </c>
      <c r="F776" s="42"/>
    </row>
    <row r="777" spans="2:6" x14ac:dyDescent="0.35">
      <c r="B777" s="25" t="s">
        <v>399</v>
      </c>
      <c r="C777" s="27">
        <v>314</v>
      </c>
      <c r="D777" s="26" t="s">
        <v>1210</v>
      </c>
      <c r="E777" s="27">
        <v>1</v>
      </c>
      <c r="F777" s="42"/>
    </row>
    <row r="778" spans="2:6" x14ac:dyDescent="0.35">
      <c r="B778" s="25" t="s">
        <v>399</v>
      </c>
      <c r="C778" s="27">
        <v>316</v>
      </c>
      <c r="D778" s="26" t="s">
        <v>1544</v>
      </c>
      <c r="E778" s="27">
        <v>1</v>
      </c>
      <c r="F778" s="42"/>
    </row>
    <row r="779" spans="2:6" x14ac:dyDescent="0.35">
      <c r="B779" s="25" t="s">
        <v>399</v>
      </c>
      <c r="C779" s="27">
        <v>318</v>
      </c>
      <c r="D779" s="26" t="s">
        <v>1545</v>
      </c>
      <c r="E779" s="27">
        <v>1</v>
      </c>
      <c r="F779" s="42"/>
    </row>
    <row r="780" spans="2:6" x14ac:dyDescent="0.35">
      <c r="B780" s="25" t="s">
        <v>399</v>
      </c>
      <c r="C780" s="27">
        <v>320</v>
      </c>
      <c r="D780" s="26" t="s">
        <v>1200</v>
      </c>
      <c r="E780" s="27">
        <v>1</v>
      </c>
      <c r="F780" s="42"/>
    </row>
    <row r="781" spans="2:6" x14ac:dyDescent="0.35">
      <c r="B781" s="25" t="s">
        <v>399</v>
      </c>
      <c r="C781" s="27">
        <v>322</v>
      </c>
      <c r="D781" s="26" t="s">
        <v>1208</v>
      </c>
      <c r="E781" s="27">
        <v>1</v>
      </c>
      <c r="F781" s="42"/>
    </row>
    <row r="782" spans="2:6" x14ac:dyDescent="0.35">
      <c r="B782" s="25" t="s">
        <v>399</v>
      </c>
      <c r="C782" s="27">
        <v>390</v>
      </c>
      <c r="D782" s="26" t="s">
        <v>1546</v>
      </c>
      <c r="E782" s="27">
        <v>1</v>
      </c>
      <c r="F782" s="42"/>
    </row>
    <row r="783" spans="2:6" ht="29" x14ac:dyDescent="0.35">
      <c r="B783" s="25" t="s">
        <v>402</v>
      </c>
      <c r="C783" s="27">
        <v>102</v>
      </c>
      <c r="D783" s="26" t="s">
        <v>1547</v>
      </c>
      <c r="E783" s="27">
        <v>1</v>
      </c>
      <c r="F783" s="42"/>
    </row>
    <row r="784" spans="2:6" ht="29" x14ac:dyDescent="0.35">
      <c r="B784" s="25" t="s">
        <v>402</v>
      </c>
      <c r="C784" s="27">
        <v>104</v>
      </c>
      <c r="D784" s="26" t="s">
        <v>1548</v>
      </c>
      <c r="E784" s="27">
        <v>1</v>
      </c>
      <c r="F784" s="42"/>
    </row>
    <row r="785" spans="2:6" ht="29" x14ac:dyDescent="0.35">
      <c r="B785" s="25" t="s">
        <v>402</v>
      </c>
      <c r="C785" s="27">
        <v>106</v>
      </c>
      <c r="D785" s="26" t="s">
        <v>1549</v>
      </c>
      <c r="E785" s="27">
        <v>1</v>
      </c>
      <c r="F785" s="42"/>
    </row>
    <row r="786" spans="2:6" ht="29" x14ac:dyDescent="0.35">
      <c r="B786" s="25" t="s">
        <v>402</v>
      </c>
      <c r="C786" s="27">
        <v>108</v>
      </c>
      <c r="D786" s="26" t="s">
        <v>1550</v>
      </c>
      <c r="E786" s="27">
        <v>1</v>
      </c>
      <c r="F786" s="42"/>
    </row>
    <row r="787" spans="2:6" ht="29" x14ac:dyDescent="0.35">
      <c r="B787" s="25" t="s">
        <v>402</v>
      </c>
      <c r="C787" s="27">
        <v>110</v>
      </c>
      <c r="D787" s="26" t="s">
        <v>1551</v>
      </c>
      <c r="E787" s="27">
        <v>1</v>
      </c>
      <c r="F787" s="42"/>
    </row>
    <row r="788" spans="2:6" ht="29" x14ac:dyDescent="0.35">
      <c r="B788" s="25" t="s">
        <v>402</v>
      </c>
      <c r="C788" s="27">
        <v>112</v>
      </c>
      <c r="D788" s="26" t="s">
        <v>1552</v>
      </c>
      <c r="E788" s="27">
        <v>1</v>
      </c>
      <c r="F788" s="42"/>
    </row>
    <row r="789" spans="2:6" ht="29" x14ac:dyDescent="0.35">
      <c r="B789" s="25" t="s">
        <v>402</v>
      </c>
      <c r="C789" s="27">
        <v>114</v>
      </c>
      <c r="D789" s="26" t="s">
        <v>1553</v>
      </c>
      <c r="E789" s="27">
        <v>1</v>
      </c>
      <c r="F789" s="42"/>
    </row>
    <row r="790" spans="2:6" ht="29" x14ac:dyDescent="0.35">
      <c r="B790" s="25" t="s">
        <v>402</v>
      </c>
      <c r="C790" s="27">
        <v>116</v>
      </c>
      <c r="D790" s="26" t="s">
        <v>1554</v>
      </c>
      <c r="E790" s="27">
        <v>1</v>
      </c>
      <c r="F790" s="42"/>
    </row>
    <row r="791" spans="2:6" ht="29" x14ac:dyDescent="0.35">
      <c r="B791" s="25" t="s">
        <v>402</v>
      </c>
      <c r="C791" s="27">
        <v>118</v>
      </c>
      <c r="D791" s="26" t="s">
        <v>1555</v>
      </c>
      <c r="E791" s="27">
        <v>1</v>
      </c>
      <c r="F791" s="42"/>
    </row>
    <row r="792" spans="2:6" ht="29" x14ac:dyDescent="0.35">
      <c r="B792" s="52" t="s">
        <v>402</v>
      </c>
      <c r="C792" s="53">
        <v>119</v>
      </c>
      <c r="D792" s="54" t="s">
        <v>1556</v>
      </c>
      <c r="E792" s="53">
        <v>0</v>
      </c>
      <c r="F792" s="55"/>
    </row>
    <row r="793" spans="2:6" ht="29" x14ac:dyDescent="0.35">
      <c r="B793" s="52" t="s">
        <v>402</v>
      </c>
      <c r="C793" s="53">
        <v>120</v>
      </c>
      <c r="D793" s="54" t="s">
        <v>1557</v>
      </c>
      <c r="E793" s="53">
        <v>0</v>
      </c>
      <c r="F793" s="55"/>
    </row>
    <row r="794" spans="2:6" ht="43.5" x14ac:dyDescent="0.35">
      <c r="B794" s="52" t="s">
        <v>402</v>
      </c>
      <c r="C794" s="53">
        <v>121</v>
      </c>
      <c r="D794" s="54" t="s">
        <v>1558</v>
      </c>
      <c r="E794" s="53">
        <v>0</v>
      </c>
      <c r="F794" s="55"/>
    </row>
    <row r="795" spans="2:6" ht="43.5" x14ac:dyDescent="0.35">
      <c r="B795" s="25" t="s">
        <v>402</v>
      </c>
      <c r="C795" s="27">
        <v>122</v>
      </c>
      <c r="D795" s="26" t="s">
        <v>1559</v>
      </c>
      <c r="E795" s="27">
        <v>1</v>
      </c>
      <c r="F795" s="42"/>
    </row>
    <row r="796" spans="2:6" x14ac:dyDescent="0.35">
      <c r="B796" s="52" t="s">
        <v>402</v>
      </c>
      <c r="C796" s="53">
        <v>123</v>
      </c>
      <c r="D796" s="54" t="s">
        <v>1560</v>
      </c>
      <c r="E796" s="53">
        <v>0</v>
      </c>
      <c r="F796" s="55"/>
    </row>
    <row r="797" spans="2:6" x14ac:dyDescent="0.35">
      <c r="B797" s="25" t="s">
        <v>402</v>
      </c>
      <c r="C797" s="27">
        <v>190</v>
      </c>
      <c r="D797" s="26" t="s">
        <v>1561</v>
      </c>
      <c r="E797" s="27">
        <v>1</v>
      </c>
      <c r="F797" s="42"/>
    </row>
    <row r="798" spans="2:6" ht="29" x14ac:dyDescent="0.35">
      <c r="B798" s="25" t="s">
        <v>402</v>
      </c>
      <c r="C798" s="27">
        <v>201</v>
      </c>
      <c r="D798" s="26" t="s">
        <v>1562</v>
      </c>
      <c r="E798" s="27">
        <v>1</v>
      </c>
      <c r="F798" s="42"/>
    </row>
    <row r="799" spans="2:6" ht="29" x14ac:dyDescent="0.35">
      <c r="B799" s="25" t="s">
        <v>402</v>
      </c>
      <c r="C799" s="27">
        <v>211</v>
      </c>
      <c r="D799" s="26" t="s">
        <v>1563</v>
      </c>
      <c r="E799" s="27">
        <v>1</v>
      </c>
      <c r="F799" s="42"/>
    </row>
    <row r="800" spans="2:6" ht="43.5" x14ac:dyDescent="0.35">
      <c r="B800" s="25" t="s">
        <v>402</v>
      </c>
      <c r="C800" s="27">
        <v>212</v>
      </c>
      <c r="D800" s="26" t="s">
        <v>1564</v>
      </c>
      <c r="E800" s="27">
        <v>1</v>
      </c>
      <c r="F800" s="42"/>
    </row>
    <row r="801" spans="2:6" ht="29" x14ac:dyDescent="0.35">
      <c r="B801" s="25" t="s">
        <v>402</v>
      </c>
      <c r="C801" s="27">
        <v>213</v>
      </c>
      <c r="D801" s="26" t="s">
        <v>1565</v>
      </c>
      <c r="E801" s="27">
        <v>1</v>
      </c>
      <c r="F801" s="42"/>
    </row>
    <row r="802" spans="2:6" x14ac:dyDescent="0.35">
      <c r="B802" s="25" t="s">
        <v>402</v>
      </c>
      <c r="C802" s="27">
        <v>214</v>
      </c>
      <c r="D802" s="26" t="s">
        <v>1566</v>
      </c>
      <c r="E802" s="27">
        <v>1</v>
      </c>
      <c r="F802" s="42"/>
    </row>
    <row r="803" spans="2:6" ht="43.5" x14ac:dyDescent="0.35">
      <c r="B803" s="25" t="s">
        <v>402</v>
      </c>
      <c r="C803" s="27">
        <v>215</v>
      </c>
      <c r="D803" s="26" t="s">
        <v>1567</v>
      </c>
      <c r="E803" s="27">
        <v>1</v>
      </c>
      <c r="F803" s="42"/>
    </row>
    <row r="804" spans="2:6" ht="43.5" x14ac:dyDescent="0.35">
      <c r="B804" s="25" t="s">
        <v>402</v>
      </c>
      <c r="C804" s="27">
        <v>216</v>
      </c>
      <c r="D804" s="26" t="s">
        <v>1568</v>
      </c>
      <c r="E804" s="27">
        <v>1</v>
      </c>
      <c r="F804" s="42"/>
    </row>
    <row r="805" spans="2:6" ht="29" x14ac:dyDescent="0.35">
      <c r="B805" s="25" t="s">
        <v>402</v>
      </c>
      <c r="C805" s="27">
        <v>221</v>
      </c>
      <c r="D805" s="26" t="s">
        <v>1569</v>
      </c>
      <c r="E805" s="27">
        <v>1</v>
      </c>
      <c r="F805" s="42"/>
    </row>
    <row r="806" spans="2:6" ht="29" x14ac:dyDescent="0.35">
      <c r="B806" s="25" t="s">
        <v>402</v>
      </c>
      <c r="C806" s="27">
        <v>222</v>
      </c>
      <c r="D806" s="26" t="s">
        <v>1570</v>
      </c>
      <c r="E806" s="27">
        <v>1</v>
      </c>
      <c r="F806" s="42"/>
    </row>
    <row r="807" spans="2:6" ht="29" x14ac:dyDescent="0.35">
      <c r="B807" s="25" t="s">
        <v>402</v>
      </c>
      <c r="C807" s="27">
        <v>223</v>
      </c>
      <c r="D807" s="26" t="s">
        <v>1571</v>
      </c>
      <c r="E807" s="27">
        <v>1</v>
      </c>
      <c r="F807" s="42"/>
    </row>
    <row r="808" spans="2:6" ht="43.5" x14ac:dyDescent="0.35">
      <c r="B808" s="25" t="s">
        <v>402</v>
      </c>
      <c r="C808" s="27">
        <v>225</v>
      </c>
      <c r="D808" s="26" t="s">
        <v>1572</v>
      </c>
      <c r="E808" s="27">
        <v>1</v>
      </c>
      <c r="F808" s="42"/>
    </row>
    <row r="809" spans="2:6" ht="29" x14ac:dyDescent="0.35">
      <c r="B809" s="25" t="s">
        <v>402</v>
      </c>
      <c r="C809" s="27">
        <v>226</v>
      </c>
      <c r="D809" s="26" t="s">
        <v>1573</v>
      </c>
      <c r="E809" s="27">
        <v>1</v>
      </c>
      <c r="F809" s="42"/>
    </row>
    <row r="810" spans="2:6" ht="29" x14ac:dyDescent="0.35">
      <c r="B810" s="25" t="s">
        <v>402</v>
      </c>
      <c r="C810" s="27">
        <v>301</v>
      </c>
      <c r="D810" s="26" t="s">
        <v>1574</v>
      </c>
      <c r="E810" s="27">
        <v>1</v>
      </c>
      <c r="F810" s="42"/>
    </row>
    <row r="811" spans="2:6" ht="29" x14ac:dyDescent="0.35">
      <c r="B811" s="25" t="s">
        <v>402</v>
      </c>
      <c r="C811" s="27">
        <v>302</v>
      </c>
      <c r="D811" s="26" t="s">
        <v>1575</v>
      </c>
      <c r="E811" s="27">
        <v>1</v>
      </c>
      <c r="F811" s="42"/>
    </row>
    <row r="812" spans="2:6" ht="29" x14ac:dyDescent="0.35">
      <c r="B812" s="25" t="s">
        <v>402</v>
      </c>
      <c r="C812" s="27">
        <v>303</v>
      </c>
      <c r="D812" s="26" t="s">
        <v>1576</v>
      </c>
      <c r="E812" s="27">
        <v>1</v>
      </c>
      <c r="F812" s="42"/>
    </row>
    <row r="813" spans="2:6" ht="43.5" x14ac:dyDescent="0.35">
      <c r="B813" s="25" t="s">
        <v>402</v>
      </c>
      <c r="C813" s="27">
        <v>305</v>
      </c>
      <c r="D813" s="26" t="s">
        <v>1577</v>
      </c>
      <c r="E813" s="27">
        <v>1</v>
      </c>
      <c r="F813" s="42"/>
    </row>
    <row r="814" spans="2:6" ht="29" x14ac:dyDescent="0.35">
      <c r="B814" s="25" t="s">
        <v>402</v>
      </c>
      <c r="C814" s="27">
        <v>306</v>
      </c>
      <c r="D814" s="26" t="s">
        <v>1578</v>
      </c>
      <c r="E814" s="27">
        <v>1</v>
      </c>
      <c r="F814" s="42"/>
    </row>
    <row r="815" spans="2:6" ht="29" x14ac:dyDescent="0.35">
      <c r="B815" s="25" t="s">
        <v>402</v>
      </c>
      <c r="C815" s="27">
        <v>401</v>
      </c>
      <c r="D815" s="26" t="s">
        <v>1579</v>
      </c>
      <c r="E815" s="27">
        <v>1</v>
      </c>
      <c r="F815" s="42"/>
    </row>
    <row r="816" spans="2:6" ht="29" x14ac:dyDescent="0.35">
      <c r="B816" s="25" t="s">
        <v>402</v>
      </c>
      <c r="C816" s="27">
        <v>402</v>
      </c>
      <c r="D816" s="26" t="s">
        <v>1580</v>
      </c>
      <c r="E816" s="27">
        <v>1</v>
      </c>
      <c r="F816" s="42"/>
    </row>
    <row r="817" spans="2:6" ht="29" x14ac:dyDescent="0.35">
      <c r="B817" s="25" t="s">
        <v>402</v>
      </c>
      <c r="C817" s="27">
        <v>403</v>
      </c>
      <c r="D817" s="26" t="s">
        <v>1581</v>
      </c>
      <c r="E817" s="27">
        <v>1</v>
      </c>
      <c r="F817" s="42"/>
    </row>
    <row r="818" spans="2:6" ht="29" x14ac:dyDescent="0.35">
      <c r="B818" s="25" t="s">
        <v>402</v>
      </c>
      <c r="C818" s="27">
        <v>405</v>
      </c>
      <c r="D818" s="26" t="s">
        <v>1582</v>
      </c>
      <c r="E818" s="27">
        <v>1</v>
      </c>
      <c r="F818" s="42"/>
    </row>
    <row r="819" spans="2:6" ht="29" x14ac:dyDescent="0.35">
      <c r="B819" s="25" t="s">
        <v>402</v>
      </c>
      <c r="C819" s="27">
        <v>406</v>
      </c>
      <c r="D819" s="26" t="s">
        <v>1583</v>
      </c>
      <c r="E819" s="27">
        <v>1</v>
      </c>
      <c r="F819" s="42"/>
    </row>
    <row r="820" spans="2:6" ht="29" x14ac:dyDescent="0.35">
      <c r="B820" s="25" t="s">
        <v>402</v>
      </c>
      <c r="C820" s="27">
        <v>432</v>
      </c>
      <c r="D820" s="26" t="s">
        <v>1584</v>
      </c>
      <c r="E820" s="27">
        <v>1</v>
      </c>
      <c r="F820" s="42"/>
    </row>
    <row r="821" spans="2:6" ht="29" x14ac:dyDescent="0.35">
      <c r="B821" s="25" t="s">
        <v>402</v>
      </c>
      <c r="C821" s="27">
        <v>433</v>
      </c>
      <c r="D821" s="26" t="s">
        <v>1585</v>
      </c>
      <c r="E821" s="27">
        <v>1</v>
      </c>
      <c r="F821" s="42"/>
    </row>
    <row r="822" spans="2:6" ht="29" x14ac:dyDescent="0.35">
      <c r="B822" s="25" t="s">
        <v>402</v>
      </c>
      <c r="C822" s="27">
        <v>434</v>
      </c>
      <c r="D822" s="26" t="s">
        <v>1586</v>
      </c>
      <c r="E822" s="27">
        <v>1</v>
      </c>
      <c r="F822" s="42"/>
    </row>
    <row r="823" spans="2:6" ht="29" x14ac:dyDescent="0.35">
      <c r="B823" s="25" t="s">
        <v>402</v>
      </c>
      <c r="C823" s="27">
        <v>435</v>
      </c>
      <c r="D823" s="26" t="s">
        <v>1587</v>
      </c>
      <c r="E823" s="27">
        <v>1</v>
      </c>
      <c r="F823" s="42"/>
    </row>
    <row r="824" spans="2:6" ht="43.5" x14ac:dyDescent="0.35">
      <c r="B824" s="25" t="s">
        <v>402</v>
      </c>
      <c r="C824" s="27">
        <v>501</v>
      </c>
      <c r="D824" s="26" t="s">
        <v>1588</v>
      </c>
      <c r="E824" s="27">
        <v>1</v>
      </c>
      <c r="F824" s="42"/>
    </row>
    <row r="825" spans="2:6" x14ac:dyDescent="0.35">
      <c r="B825" s="25" t="s">
        <v>393</v>
      </c>
      <c r="C825" s="27">
        <v>0</v>
      </c>
      <c r="D825" s="26" t="s">
        <v>577</v>
      </c>
      <c r="E825" s="27">
        <v>1</v>
      </c>
      <c r="F825" s="42"/>
    </row>
    <row r="826" spans="2:6" ht="29" x14ac:dyDescent="0.35">
      <c r="B826" s="25" t="s">
        <v>393</v>
      </c>
      <c r="C826" s="27">
        <v>1</v>
      </c>
      <c r="D826" s="26" t="s">
        <v>1589</v>
      </c>
      <c r="E826" s="27">
        <v>1</v>
      </c>
      <c r="F826" s="42"/>
    </row>
    <row r="827" spans="2:6" x14ac:dyDescent="0.35">
      <c r="B827" s="25" t="s">
        <v>393</v>
      </c>
      <c r="C827" s="27">
        <v>2</v>
      </c>
      <c r="D827" s="26" t="s">
        <v>1590</v>
      </c>
      <c r="E827" s="27">
        <v>1</v>
      </c>
      <c r="F827" s="42"/>
    </row>
    <row r="828" spans="2:6" x14ac:dyDescent="0.35">
      <c r="B828" s="25" t="s">
        <v>393</v>
      </c>
      <c r="C828" s="27">
        <v>3</v>
      </c>
      <c r="D828" s="26" t="s">
        <v>1591</v>
      </c>
      <c r="E828" s="27">
        <v>1</v>
      </c>
      <c r="F828" s="42"/>
    </row>
    <row r="829" spans="2:6" x14ac:dyDescent="0.35">
      <c r="B829" s="25" t="s">
        <v>393</v>
      </c>
      <c r="C829" s="27">
        <v>4</v>
      </c>
      <c r="D829" s="26" t="s">
        <v>1592</v>
      </c>
      <c r="E829" s="27">
        <v>1</v>
      </c>
      <c r="F829" s="42"/>
    </row>
    <row r="830" spans="2:6" x14ac:dyDescent="0.35">
      <c r="B830" s="25" t="s">
        <v>393</v>
      </c>
      <c r="C830" s="27">
        <v>5</v>
      </c>
      <c r="D830" s="26" t="s">
        <v>1593</v>
      </c>
      <c r="E830" s="27">
        <v>1</v>
      </c>
      <c r="F830" s="42"/>
    </row>
    <row r="831" spans="2:6" x14ac:dyDescent="0.35">
      <c r="B831" s="52" t="s">
        <v>393</v>
      </c>
      <c r="C831" s="53">
        <v>6</v>
      </c>
      <c r="D831" s="54" t="s">
        <v>1594</v>
      </c>
      <c r="E831" s="53">
        <v>0</v>
      </c>
      <c r="F831" s="55"/>
    </row>
    <row r="832" spans="2:6" x14ac:dyDescent="0.35">
      <c r="B832" s="25" t="s">
        <v>393</v>
      </c>
      <c r="C832" s="27">
        <v>7</v>
      </c>
      <c r="D832" s="26" t="s">
        <v>1595</v>
      </c>
      <c r="E832" s="27">
        <v>1</v>
      </c>
      <c r="F832" s="42"/>
    </row>
    <row r="833" spans="2:6" ht="29" x14ac:dyDescent="0.35">
      <c r="B833" s="25" t="s">
        <v>393</v>
      </c>
      <c r="C833" s="27">
        <v>8</v>
      </c>
      <c r="D833" s="26" t="s">
        <v>1596</v>
      </c>
      <c r="E833" s="27">
        <v>1</v>
      </c>
      <c r="F833" s="42"/>
    </row>
    <row r="834" spans="2:6" ht="58" x14ac:dyDescent="0.35">
      <c r="B834" s="25" t="s">
        <v>393</v>
      </c>
      <c r="C834" s="27">
        <v>9</v>
      </c>
      <c r="D834" s="26" t="s">
        <v>1597</v>
      </c>
      <c r="E834" s="27">
        <v>1</v>
      </c>
      <c r="F834" s="42" t="s">
        <v>1598</v>
      </c>
    </row>
    <row r="835" spans="2:6" ht="58" x14ac:dyDescent="0.35">
      <c r="B835" s="25" t="s">
        <v>393</v>
      </c>
      <c r="C835" s="27">
        <v>10</v>
      </c>
      <c r="D835" s="26" t="s">
        <v>1599</v>
      </c>
      <c r="E835" s="27">
        <v>1</v>
      </c>
      <c r="F835" s="42" t="s">
        <v>1600</v>
      </c>
    </row>
    <row r="836" spans="2:6" ht="58" x14ac:dyDescent="0.35">
      <c r="B836" s="25" t="s">
        <v>393</v>
      </c>
      <c r="C836" s="27">
        <v>11</v>
      </c>
      <c r="D836" s="26" t="s">
        <v>1601</v>
      </c>
      <c r="E836" s="27">
        <v>1</v>
      </c>
      <c r="F836" s="42" t="s">
        <v>1600</v>
      </c>
    </row>
    <row r="837" spans="2:6" ht="58" x14ac:dyDescent="0.35">
      <c r="B837" s="25" t="s">
        <v>393</v>
      </c>
      <c r="C837" s="27">
        <v>12</v>
      </c>
      <c r="D837" s="26" t="s">
        <v>1602</v>
      </c>
      <c r="E837" s="27">
        <v>1</v>
      </c>
      <c r="F837" s="42" t="s">
        <v>1600</v>
      </c>
    </row>
    <row r="838" spans="2:6" ht="58" x14ac:dyDescent="0.35">
      <c r="B838" s="25" t="s">
        <v>393</v>
      </c>
      <c r="C838" s="27">
        <v>13</v>
      </c>
      <c r="D838" s="26" t="s">
        <v>1603</v>
      </c>
      <c r="E838" s="27">
        <v>1</v>
      </c>
      <c r="F838" s="42" t="s">
        <v>1600</v>
      </c>
    </row>
    <row r="839" spans="2:6" ht="29" x14ac:dyDescent="0.35">
      <c r="B839" s="25" t="s">
        <v>393</v>
      </c>
      <c r="C839" s="27">
        <v>14</v>
      </c>
      <c r="D839" s="26" t="s">
        <v>1604</v>
      </c>
      <c r="E839" s="27">
        <v>1</v>
      </c>
      <c r="F839" s="42"/>
    </row>
    <row r="840" spans="2:6" x14ac:dyDescent="0.35">
      <c r="B840" s="25" t="s">
        <v>393</v>
      </c>
      <c r="C840" s="27">
        <v>15</v>
      </c>
      <c r="D840" s="26" t="s">
        <v>1605</v>
      </c>
      <c r="E840" s="27">
        <v>1</v>
      </c>
      <c r="F840" s="42"/>
    </row>
    <row r="841" spans="2:6" x14ac:dyDescent="0.35">
      <c r="B841" s="25" t="s">
        <v>393</v>
      </c>
      <c r="C841" s="27">
        <v>16</v>
      </c>
      <c r="D841" s="26" t="s">
        <v>1606</v>
      </c>
      <c r="E841" s="27">
        <v>1</v>
      </c>
      <c r="F841" s="42"/>
    </row>
    <row r="842" spans="2:6" ht="29" x14ac:dyDescent="0.35">
      <c r="B842" s="25" t="s">
        <v>393</v>
      </c>
      <c r="C842" s="27">
        <v>17</v>
      </c>
      <c r="D842" s="26" t="s">
        <v>1607</v>
      </c>
      <c r="E842" s="27">
        <v>1</v>
      </c>
      <c r="F842" s="42"/>
    </row>
    <row r="843" spans="2:6" x14ac:dyDescent="0.35">
      <c r="B843" s="25" t="s">
        <v>393</v>
      </c>
      <c r="C843" s="27">
        <v>18</v>
      </c>
      <c r="D843" s="26" t="s">
        <v>1608</v>
      </c>
      <c r="E843" s="27">
        <v>1</v>
      </c>
      <c r="F843" s="42"/>
    </row>
    <row r="844" spans="2:6" x14ac:dyDescent="0.35">
      <c r="B844" s="25" t="s">
        <v>393</v>
      </c>
      <c r="C844" s="27">
        <v>19</v>
      </c>
      <c r="D844" s="26" t="s">
        <v>1609</v>
      </c>
      <c r="E844" s="27">
        <v>1</v>
      </c>
      <c r="F844" s="42"/>
    </row>
    <row r="845" spans="2:6" x14ac:dyDescent="0.35">
      <c r="B845" s="25" t="s">
        <v>393</v>
      </c>
      <c r="C845" s="27">
        <v>20</v>
      </c>
      <c r="D845" s="26" t="s">
        <v>1610</v>
      </c>
      <c r="E845" s="27">
        <v>1</v>
      </c>
      <c r="F845" s="42"/>
    </row>
    <row r="846" spans="2:6" x14ac:dyDescent="0.35">
      <c r="B846" s="25" t="s">
        <v>393</v>
      </c>
      <c r="C846" s="27">
        <v>21</v>
      </c>
      <c r="D846" s="26" t="s">
        <v>1611</v>
      </c>
      <c r="E846" s="27">
        <v>1</v>
      </c>
      <c r="F846" s="42"/>
    </row>
    <row r="847" spans="2:6" x14ac:dyDescent="0.35">
      <c r="B847" s="52" t="s">
        <v>393</v>
      </c>
      <c r="C847" s="53">
        <v>22</v>
      </c>
      <c r="D847" s="54" t="s">
        <v>1612</v>
      </c>
      <c r="E847" s="53">
        <v>0</v>
      </c>
      <c r="F847" s="55"/>
    </row>
    <row r="848" spans="2:6" x14ac:dyDescent="0.35">
      <c r="B848" s="52" t="s">
        <v>393</v>
      </c>
      <c r="C848" s="53">
        <v>23</v>
      </c>
      <c r="D848" s="54" t="s">
        <v>1613</v>
      </c>
      <c r="E848" s="53">
        <v>0</v>
      </c>
      <c r="F848" s="55"/>
    </row>
    <row r="849" spans="2:6" ht="29" x14ac:dyDescent="0.35">
      <c r="B849" s="52" t="s">
        <v>393</v>
      </c>
      <c r="C849" s="53">
        <v>24</v>
      </c>
      <c r="D849" s="54" t="s">
        <v>1614</v>
      </c>
      <c r="E849" s="53">
        <v>0</v>
      </c>
      <c r="F849" s="55"/>
    </row>
    <row r="850" spans="2:6" ht="29" x14ac:dyDescent="0.35">
      <c r="B850" s="36" t="s">
        <v>375</v>
      </c>
      <c r="C850" s="40">
        <v>0</v>
      </c>
      <c r="D850" s="41" t="s">
        <v>1615</v>
      </c>
      <c r="E850" s="40">
        <v>0</v>
      </c>
      <c r="F850" s="39" t="s">
        <v>1616</v>
      </c>
    </row>
    <row r="851" spans="2:6" x14ac:dyDescent="0.35">
      <c r="B851" s="29" t="s">
        <v>375</v>
      </c>
      <c r="C851" s="30">
        <v>1</v>
      </c>
      <c r="D851" s="31" t="s">
        <v>1617</v>
      </c>
      <c r="E851" s="30">
        <v>1</v>
      </c>
      <c r="F851" s="32"/>
    </row>
    <row r="852" spans="2:6" x14ac:dyDescent="0.35">
      <c r="B852" s="29" t="s">
        <v>375</v>
      </c>
      <c r="C852" s="30">
        <v>2</v>
      </c>
      <c r="D852" s="31" t="s">
        <v>1618</v>
      </c>
      <c r="E852" s="30">
        <v>1</v>
      </c>
      <c r="F852" s="32"/>
    </row>
    <row r="853" spans="2:6" x14ac:dyDescent="0.35">
      <c r="B853" s="29" t="s">
        <v>375</v>
      </c>
      <c r="C853" s="30">
        <v>3</v>
      </c>
      <c r="D853" s="31" t="s">
        <v>1619</v>
      </c>
      <c r="E853" s="30">
        <v>1</v>
      </c>
      <c r="F853" s="32"/>
    </row>
    <row r="854" spans="2:6" x14ac:dyDescent="0.35">
      <c r="B854" s="29" t="s">
        <v>375</v>
      </c>
      <c r="C854" s="30">
        <v>4</v>
      </c>
      <c r="D854" s="31" t="s">
        <v>1620</v>
      </c>
      <c r="E854" s="30">
        <v>1</v>
      </c>
      <c r="F854" s="32"/>
    </row>
    <row r="855" spans="2:6" ht="29" x14ac:dyDescent="0.35">
      <c r="B855" s="29" t="s">
        <v>375</v>
      </c>
      <c r="C855" s="30">
        <v>5</v>
      </c>
      <c r="D855" s="31" t="s">
        <v>1621</v>
      </c>
      <c r="E855" s="30">
        <v>1</v>
      </c>
      <c r="F855" s="32"/>
    </row>
    <row r="856" spans="2:6" x14ac:dyDescent="0.35">
      <c r="B856" s="29" t="s">
        <v>375</v>
      </c>
      <c r="C856" s="30">
        <v>6</v>
      </c>
      <c r="D856" s="31" t="s">
        <v>1622</v>
      </c>
      <c r="E856" s="30">
        <v>1</v>
      </c>
      <c r="F856" s="32"/>
    </row>
    <row r="857" spans="2:6" x14ac:dyDescent="0.35">
      <c r="B857" s="29" t="s">
        <v>375</v>
      </c>
      <c r="C857" s="30">
        <v>7</v>
      </c>
      <c r="D857" s="31" t="s">
        <v>1623</v>
      </c>
      <c r="E857" s="30">
        <v>1</v>
      </c>
      <c r="F857" s="32"/>
    </row>
    <row r="858" spans="2:6" ht="29" x14ac:dyDescent="0.35">
      <c r="B858" s="29" t="s">
        <v>375</v>
      </c>
      <c r="C858" s="30">
        <v>8</v>
      </c>
      <c r="D858" s="31" t="s">
        <v>1624</v>
      </c>
      <c r="E858" s="30">
        <v>1</v>
      </c>
      <c r="F858" s="32" t="s">
        <v>1625</v>
      </c>
    </row>
    <row r="859" spans="2:6" x14ac:dyDescent="0.35">
      <c r="B859" s="29" t="s">
        <v>375</v>
      </c>
      <c r="C859" s="30">
        <v>9</v>
      </c>
      <c r="D859" s="31" t="s">
        <v>516</v>
      </c>
      <c r="E859" s="30">
        <v>1</v>
      </c>
      <c r="F859" s="32"/>
    </row>
    <row r="860" spans="2:6" x14ac:dyDescent="0.35">
      <c r="B860" s="25" t="s">
        <v>383</v>
      </c>
      <c r="C860" s="27">
        <v>0</v>
      </c>
      <c r="D860" s="26" t="s">
        <v>84</v>
      </c>
      <c r="F860" s="42"/>
    </row>
    <row r="861" spans="2:6" x14ac:dyDescent="0.35">
      <c r="B861" s="25" t="s">
        <v>383</v>
      </c>
      <c r="C861" s="27">
        <v>1</v>
      </c>
      <c r="D861" s="26" t="s">
        <v>1626</v>
      </c>
      <c r="E861" s="27">
        <v>1</v>
      </c>
      <c r="F861" s="42"/>
    </row>
    <row r="862" spans="2:6" x14ac:dyDescent="0.35">
      <c r="B862" s="25" t="s">
        <v>383</v>
      </c>
      <c r="C862" s="27">
        <v>2</v>
      </c>
      <c r="D862" s="26" t="s">
        <v>1627</v>
      </c>
      <c r="E862" s="27">
        <v>1</v>
      </c>
      <c r="F862" s="42"/>
    </row>
    <row r="863" spans="2:6" x14ac:dyDescent="0.35">
      <c r="B863" s="25" t="s">
        <v>383</v>
      </c>
      <c r="C863" s="27">
        <v>3</v>
      </c>
      <c r="D863" s="26" t="s">
        <v>1628</v>
      </c>
      <c r="E863" s="27">
        <v>1</v>
      </c>
      <c r="F863" s="42"/>
    </row>
    <row r="864" spans="2:6" x14ac:dyDescent="0.35">
      <c r="B864" s="25" t="s">
        <v>303</v>
      </c>
      <c r="C864" s="27">
        <v>1</v>
      </c>
      <c r="D864" s="26" t="s">
        <v>1629</v>
      </c>
      <c r="E864" s="27">
        <v>1</v>
      </c>
      <c r="F864" s="42"/>
    </row>
    <row r="865" spans="2:6" x14ac:dyDescent="0.35">
      <c r="B865" s="25" t="s">
        <v>303</v>
      </c>
      <c r="C865" s="27">
        <v>2</v>
      </c>
      <c r="D865" s="26" t="s">
        <v>1630</v>
      </c>
      <c r="E865" s="27">
        <v>1</v>
      </c>
      <c r="F865" s="42"/>
    </row>
    <row r="866" spans="2:6" ht="29" x14ac:dyDescent="0.35">
      <c r="B866" s="25" t="s">
        <v>303</v>
      </c>
      <c r="C866" s="27">
        <v>3</v>
      </c>
      <c r="D866" s="26" t="s">
        <v>1631</v>
      </c>
      <c r="E866" s="27">
        <v>1</v>
      </c>
      <c r="F866" s="42"/>
    </row>
    <row r="867" spans="2:6" x14ac:dyDescent="0.35">
      <c r="B867" s="25" t="s">
        <v>303</v>
      </c>
      <c r="C867" s="27">
        <v>4</v>
      </c>
      <c r="D867" s="26" t="s">
        <v>1632</v>
      </c>
      <c r="E867" s="27">
        <v>1</v>
      </c>
      <c r="F867" s="42"/>
    </row>
    <row r="868" spans="2:6" x14ac:dyDescent="0.35">
      <c r="B868" s="25" t="s">
        <v>303</v>
      </c>
      <c r="C868" s="27">
        <v>5</v>
      </c>
      <c r="D868" s="26" t="s">
        <v>1633</v>
      </c>
      <c r="E868" s="27">
        <v>1</v>
      </c>
      <c r="F868" s="42"/>
    </row>
    <row r="869" spans="2:6" x14ac:dyDescent="0.35">
      <c r="B869" s="25" t="s">
        <v>303</v>
      </c>
      <c r="C869" s="27">
        <v>6</v>
      </c>
      <c r="D869" s="26" t="s">
        <v>1634</v>
      </c>
      <c r="E869" s="27">
        <v>1</v>
      </c>
      <c r="F869" s="42"/>
    </row>
    <row r="870" spans="2:6" x14ac:dyDescent="0.35">
      <c r="B870" s="25" t="s">
        <v>303</v>
      </c>
      <c r="C870" s="27">
        <v>7</v>
      </c>
      <c r="D870" s="26" t="s">
        <v>1635</v>
      </c>
      <c r="E870" s="27">
        <v>1</v>
      </c>
      <c r="F870" s="42"/>
    </row>
    <row r="871" spans="2:6" x14ac:dyDescent="0.35">
      <c r="B871" s="29" t="s">
        <v>315</v>
      </c>
      <c r="C871" s="30">
        <v>1</v>
      </c>
      <c r="D871" s="31" t="s">
        <v>1636</v>
      </c>
      <c r="E871" s="30">
        <v>1</v>
      </c>
      <c r="F871" s="32"/>
    </row>
    <row r="872" spans="2:6" ht="29" x14ac:dyDescent="0.35">
      <c r="B872" s="29" t="s">
        <v>315</v>
      </c>
      <c r="C872" s="30">
        <v>2</v>
      </c>
      <c r="D872" s="31" t="s">
        <v>1637</v>
      </c>
      <c r="E872" s="30">
        <v>1</v>
      </c>
      <c r="F872" s="32"/>
    </row>
    <row r="873" spans="2:6" ht="29" x14ac:dyDescent="0.35">
      <c r="B873" s="29" t="s">
        <v>315</v>
      </c>
      <c r="C873" s="30">
        <v>3</v>
      </c>
      <c r="D873" s="31" t="s">
        <v>1638</v>
      </c>
      <c r="E873" s="30">
        <v>1</v>
      </c>
      <c r="F873" s="32"/>
    </row>
    <row r="874" spans="2:6" x14ac:dyDescent="0.35">
      <c r="B874" s="29" t="s">
        <v>315</v>
      </c>
      <c r="C874" s="30">
        <v>4</v>
      </c>
      <c r="D874" s="31" t="s">
        <v>1639</v>
      </c>
      <c r="E874" s="30">
        <v>1</v>
      </c>
      <c r="F874" s="32"/>
    </row>
    <row r="875" spans="2:6" x14ac:dyDescent="0.35">
      <c r="B875" s="29" t="s">
        <v>315</v>
      </c>
      <c r="C875" s="30">
        <v>5</v>
      </c>
      <c r="D875" s="31" t="s">
        <v>1640</v>
      </c>
      <c r="E875" s="30">
        <v>1</v>
      </c>
      <c r="F875" s="32"/>
    </row>
    <row r="876" spans="2:6" ht="29" x14ac:dyDescent="0.35">
      <c r="B876" s="29" t="s">
        <v>315</v>
      </c>
      <c r="C876" s="30">
        <v>6</v>
      </c>
      <c r="D876" s="31" t="s">
        <v>1641</v>
      </c>
      <c r="E876" s="30">
        <v>1</v>
      </c>
      <c r="F876" s="32"/>
    </row>
    <row r="877" spans="2:6" x14ac:dyDescent="0.35">
      <c r="B877" s="29" t="s">
        <v>315</v>
      </c>
      <c r="C877" s="30">
        <v>7</v>
      </c>
      <c r="D877" s="31" t="s">
        <v>1642</v>
      </c>
      <c r="E877" s="30">
        <v>1</v>
      </c>
      <c r="F877" s="32"/>
    </row>
    <row r="878" spans="2:6" x14ac:dyDescent="0.35">
      <c r="B878" s="29" t="s">
        <v>315</v>
      </c>
      <c r="C878" s="30">
        <v>8</v>
      </c>
      <c r="D878" s="31" t="s">
        <v>1643</v>
      </c>
      <c r="E878" s="30">
        <v>1</v>
      </c>
      <c r="F878" s="32"/>
    </row>
    <row r="879" spans="2:6" x14ac:dyDescent="0.35">
      <c r="B879" s="29" t="s">
        <v>315</v>
      </c>
      <c r="C879" s="30">
        <v>9</v>
      </c>
      <c r="D879" s="31" t="s">
        <v>1644</v>
      </c>
      <c r="E879" s="30">
        <v>1</v>
      </c>
      <c r="F879" s="32"/>
    </row>
    <row r="880" spans="2:6" x14ac:dyDescent="0.35">
      <c r="B880" s="29" t="s">
        <v>315</v>
      </c>
      <c r="C880" s="30">
        <v>10</v>
      </c>
      <c r="D880" s="31" t="s">
        <v>1645</v>
      </c>
      <c r="E880" s="30">
        <v>1</v>
      </c>
      <c r="F880" s="32"/>
    </row>
    <row r="881" spans="2:6" x14ac:dyDescent="0.35">
      <c r="B881" s="29" t="s">
        <v>315</v>
      </c>
      <c r="C881" s="30">
        <v>11</v>
      </c>
      <c r="D881" s="31" t="s">
        <v>1646</v>
      </c>
      <c r="E881" s="30">
        <v>1</v>
      </c>
      <c r="F881" s="32"/>
    </row>
    <row r="882" spans="2:6" x14ac:dyDescent="0.35">
      <c r="B882" s="29" t="s">
        <v>315</v>
      </c>
      <c r="C882" s="30">
        <v>12</v>
      </c>
      <c r="D882" s="31" t="s">
        <v>1647</v>
      </c>
      <c r="E882" s="30">
        <v>1</v>
      </c>
      <c r="F882" s="32"/>
    </row>
    <row r="883" spans="2:6" x14ac:dyDescent="0.35">
      <c r="B883" s="29" t="s">
        <v>315</v>
      </c>
      <c r="C883" s="30">
        <v>13</v>
      </c>
      <c r="D883" s="31" t="s">
        <v>1648</v>
      </c>
      <c r="E883" s="30">
        <v>1</v>
      </c>
      <c r="F883" s="32"/>
    </row>
    <row r="884" spans="2:6" x14ac:dyDescent="0.35">
      <c r="B884" s="29" t="s">
        <v>315</v>
      </c>
      <c r="C884" s="30">
        <v>14</v>
      </c>
      <c r="D884" s="31" t="s">
        <v>1649</v>
      </c>
      <c r="E884" s="30">
        <v>1</v>
      </c>
      <c r="F884" s="32"/>
    </row>
    <row r="885" spans="2:6" x14ac:dyDescent="0.35">
      <c r="B885" s="25" t="s">
        <v>395</v>
      </c>
      <c r="C885" s="27">
        <v>1</v>
      </c>
      <c r="D885" s="26" t="s">
        <v>1650</v>
      </c>
      <c r="E885" s="27">
        <v>1</v>
      </c>
      <c r="F885" s="42"/>
    </row>
    <row r="886" spans="2:6" x14ac:dyDescent="0.35">
      <c r="B886" s="25" t="s">
        <v>395</v>
      </c>
      <c r="C886" s="27">
        <v>2</v>
      </c>
      <c r="D886" s="26" t="s">
        <v>1651</v>
      </c>
      <c r="E886" s="27">
        <v>1</v>
      </c>
      <c r="F886" s="42"/>
    </row>
    <row r="887" spans="2:6" x14ac:dyDescent="0.35">
      <c r="B887" s="25" t="s">
        <v>395</v>
      </c>
      <c r="C887" s="27">
        <v>3</v>
      </c>
      <c r="D887" s="26" t="s">
        <v>1652</v>
      </c>
      <c r="E887" s="27">
        <v>1</v>
      </c>
      <c r="F887" s="42"/>
    </row>
    <row r="888" spans="2:6" x14ac:dyDescent="0.35">
      <c r="B888" s="25" t="s">
        <v>395</v>
      </c>
      <c r="C888" s="27">
        <v>4</v>
      </c>
      <c r="D888" s="26" t="s">
        <v>1653</v>
      </c>
      <c r="E888" s="27">
        <v>1</v>
      </c>
      <c r="F888" s="42"/>
    </row>
    <row r="889" spans="2:6" x14ac:dyDescent="0.35">
      <c r="B889" s="25" t="s">
        <v>395</v>
      </c>
      <c r="C889" s="27">
        <v>5</v>
      </c>
      <c r="D889" s="26" t="s">
        <v>1654</v>
      </c>
      <c r="E889" s="27">
        <v>1</v>
      </c>
      <c r="F889" s="42"/>
    </row>
    <row r="890" spans="2:6" x14ac:dyDescent="0.35">
      <c r="B890" s="25" t="s">
        <v>395</v>
      </c>
      <c r="C890" s="27">
        <v>6</v>
      </c>
      <c r="D890" s="26" t="s">
        <v>1655</v>
      </c>
      <c r="E890" s="27">
        <v>1</v>
      </c>
      <c r="F890" s="42"/>
    </row>
    <row r="891" spans="2:6" x14ac:dyDescent="0.35">
      <c r="B891" s="25" t="s">
        <v>395</v>
      </c>
      <c r="C891" s="27">
        <v>7</v>
      </c>
      <c r="D891" s="26" t="s">
        <v>1656</v>
      </c>
      <c r="E891" s="27">
        <v>1</v>
      </c>
      <c r="F891" s="42"/>
    </row>
    <row r="892" spans="2:6" x14ac:dyDescent="0.35">
      <c r="B892" s="25" t="s">
        <v>395</v>
      </c>
      <c r="C892" s="27">
        <v>8</v>
      </c>
      <c r="D892" s="26" t="s">
        <v>1657</v>
      </c>
      <c r="E892" s="27">
        <v>1</v>
      </c>
      <c r="F892" s="42"/>
    </row>
    <row r="893" spans="2:6" x14ac:dyDescent="0.35">
      <c r="B893" s="25" t="s">
        <v>395</v>
      </c>
      <c r="C893" s="27">
        <v>9</v>
      </c>
      <c r="D893" s="26" t="s">
        <v>1658</v>
      </c>
      <c r="E893" s="27">
        <v>1</v>
      </c>
      <c r="F893" s="42"/>
    </row>
    <row r="894" spans="2:6" x14ac:dyDescent="0.35">
      <c r="B894" s="25" t="s">
        <v>395</v>
      </c>
      <c r="C894" s="27">
        <v>10</v>
      </c>
      <c r="D894" s="26" t="s">
        <v>1659</v>
      </c>
      <c r="E894" s="27">
        <v>1</v>
      </c>
      <c r="F894" s="42"/>
    </row>
    <row r="895" spans="2:6" x14ac:dyDescent="0.35">
      <c r="B895" s="25" t="s">
        <v>395</v>
      </c>
      <c r="C895" s="27">
        <v>11</v>
      </c>
      <c r="D895" s="26" t="s">
        <v>1660</v>
      </c>
      <c r="E895" s="27">
        <v>1</v>
      </c>
      <c r="F895" s="42"/>
    </row>
    <row r="896" spans="2:6" x14ac:dyDescent="0.35">
      <c r="B896" s="25" t="s">
        <v>395</v>
      </c>
      <c r="C896" s="27">
        <v>12</v>
      </c>
      <c r="D896" s="26" t="s">
        <v>1661</v>
      </c>
      <c r="E896" s="27">
        <v>1</v>
      </c>
      <c r="F896" s="42"/>
    </row>
    <row r="897" spans="2:6" x14ac:dyDescent="0.35">
      <c r="B897" s="25" t="s">
        <v>412</v>
      </c>
      <c r="C897" s="27">
        <v>0</v>
      </c>
      <c r="D897" s="26" t="s">
        <v>1662</v>
      </c>
      <c r="E897" s="27">
        <v>1</v>
      </c>
      <c r="F897" s="42"/>
    </row>
    <row r="898" spans="2:6" x14ac:dyDescent="0.35">
      <c r="B898" s="25" t="s">
        <v>412</v>
      </c>
      <c r="C898" s="27">
        <v>1</v>
      </c>
      <c r="D898" s="26" t="s">
        <v>1663</v>
      </c>
      <c r="E898" s="27">
        <v>1</v>
      </c>
      <c r="F898" s="42"/>
    </row>
    <row r="899" spans="2:6" x14ac:dyDescent="0.35">
      <c r="B899" s="25" t="s">
        <v>412</v>
      </c>
      <c r="C899" s="27">
        <v>2</v>
      </c>
      <c r="D899" s="26" t="s">
        <v>1664</v>
      </c>
      <c r="E899" s="27">
        <v>1</v>
      </c>
      <c r="F899" s="42"/>
    </row>
    <row r="900" spans="2:6" x14ac:dyDescent="0.35">
      <c r="B900" s="25" t="s">
        <v>412</v>
      </c>
      <c r="C900" s="27">
        <v>3</v>
      </c>
      <c r="D900" s="26" t="s">
        <v>1665</v>
      </c>
      <c r="E900" s="27">
        <v>1</v>
      </c>
      <c r="F900" s="42"/>
    </row>
    <row r="901" spans="2:6" x14ac:dyDescent="0.35">
      <c r="B901" s="25" t="s">
        <v>412</v>
      </c>
      <c r="C901" s="27">
        <v>4</v>
      </c>
      <c r="D901" s="26" t="s">
        <v>1666</v>
      </c>
      <c r="E901" s="27">
        <v>1</v>
      </c>
      <c r="F901" s="42"/>
    </row>
    <row r="902" spans="2:6" x14ac:dyDescent="0.35">
      <c r="B902" s="25" t="s">
        <v>412</v>
      </c>
      <c r="C902" s="27">
        <v>5</v>
      </c>
      <c r="D902" s="26" t="s">
        <v>1667</v>
      </c>
      <c r="E902" s="27">
        <v>1</v>
      </c>
      <c r="F902" s="42"/>
    </row>
    <row r="903" spans="2:6" x14ac:dyDescent="0.35">
      <c r="B903" s="25" t="s">
        <v>412</v>
      </c>
      <c r="C903" s="27">
        <v>6</v>
      </c>
      <c r="D903" s="26" t="s">
        <v>1668</v>
      </c>
      <c r="E903" s="27">
        <v>1</v>
      </c>
      <c r="F903" s="42"/>
    </row>
    <row r="904" spans="2:6" x14ac:dyDescent="0.35">
      <c r="B904" s="25" t="s">
        <v>412</v>
      </c>
      <c r="C904" s="27">
        <v>7</v>
      </c>
      <c r="D904" s="26" t="s">
        <v>1669</v>
      </c>
      <c r="E904" s="27">
        <v>1</v>
      </c>
      <c r="F904" s="42"/>
    </row>
    <row r="905" spans="2:6" x14ac:dyDescent="0.35">
      <c r="B905" s="25" t="s">
        <v>412</v>
      </c>
      <c r="C905" s="27">
        <v>8</v>
      </c>
      <c r="D905" s="26" t="s">
        <v>1670</v>
      </c>
      <c r="E905" s="27">
        <v>1</v>
      </c>
      <c r="F905" s="42"/>
    </row>
    <row r="906" spans="2:6" x14ac:dyDescent="0.35">
      <c r="B906" s="25" t="s">
        <v>412</v>
      </c>
      <c r="C906" s="27">
        <v>9</v>
      </c>
      <c r="D906" s="26" t="s">
        <v>1671</v>
      </c>
      <c r="E906" s="27">
        <v>1</v>
      </c>
      <c r="F906" s="42"/>
    </row>
    <row r="907" spans="2:6" x14ac:dyDescent="0.35">
      <c r="B907" s="25" t="s">
        <v>412</v>
      </c>
      <c r="C907" s="27">
        <v>10</v>
      </c>
      <c r="D907" s="26" t="s">
        <v>1672</v>
      </c>
      <c r="E907" s="27">
        <v>1</v>
      </c>
      <c r="F907" s="42"/>
    </row>
    <row r="908" spans="2:6" x14ac:dyDescent="0.35">
      <c r="B908" s="25" t="s">
        <v>412</v>
      </c>
      <c r="C908" s="27">
        <v>11</v>
      </c>
      <c r="D908" s="26" t="s">
        <v>1673</v>
      </c>
      <c r="E908" s="27">
        <v>1</v>
      </c>
      <c r="F908" s="42"/>
    </row>
    <row r="909" spans="2:6" x14ac:dyDescent="0.35">
      <c r="B909" s="25" t="s">
        <v>412</v>
      </c>
      <c r="C909" s="27">
        <v>12</v>
      </c>
      <c r="D909" s="26" t="s">
        <v>1674</v>
      </c>
      <c r="E909" s="27">
        <v>1</v>
      </c>
      <c r="F909" s="42"/>
    </row>
    <row r="910" spans="2:6" x14ac:dyDescent="0.35">
      <c r="B910" s="25" t="s">
        <v>411</v>
      </c>
      <c r="C910" s="27">
        <v>1</v>
      </c>
      <c r="D910" s="26" t="s">
        <v>1675</v>
      </c>
      <c r="E910" s="27">
        <v>1</v>
      </c>
      <c r="F910" s="42"/>
    </row>
    <row r="911" spans="2:6" x14ac:dyDescent="0.35">
      <c r="B911" s="25" t="s">
        <v>411</v>
      </c>
      <c r="C911" s="27">
        <v>2</v>
      </c>
      <c r="D911" s="26" t="s">
        <v>1676</v>
      </c>
      <c r="E911" s="27">
        <v>1</v>
      </c>
      <c r="F911" s="42"/>
    </row>
    <row r="912" spans="2:6" x14ac:dyDescent="0.35">
      <c r="B912" s="25" t="s">
        <v>411</v>
      </c>
      <c r="C912" s="27">
        <v>3</v>
      </c>
      <c r="D912" s="26" t="s">
        <v>1677</v>
      </c>
      <c r="E912" s="27">
        <v>1</v>
      </c>
      <c r="F912" s="42"/>
    </row>
    <row r="913" spans="2:6" x14ac:dyDescent="0.35">
      <c r="B913" s="25" t="s">
        <v>411</v>
      </c>
      <c r="C913" s="27">
        <v>4</v>
      </c>
      <c r="D913" s="26" t="s">
        <v>1678</v>
      </c>
      <c r="E913" s="27">
        <v>1</v>
      </c>
      <c r="F913" s="42"/>
    </row>
    <row r="914" spans="2:6" x14ac:dyDescent="0.35">
      <c r="B914" s="25" t="s">
        <v>411</v>
      </c>
      <c r="C914" s="27">
        <v>5</v>
      </c>
      <c r="D914" s="26" t="s">
        <v>1679</v>
      </c>
      <c r="E914" s="27">
        <v>1</v>
      </c>
      <c r="F914" s="42"/>
    </row>
    <row r="915" spans="2:6" x14ac:dyDescent="0.35">
      <c r="B915" s="25" t="s">
        <v>411</v>
      </c>
      <c r="C915" s="27">
        <v>6</v>
      </c>
      <c r="D915" s="26" t="s">
        <v>1680</v>
      </c>
      <c r="E915" s="27">
        <v>1</v>
      </c>
      <c r="F915" s="42"/>
    </row>
    <row r="916" spans="2:6" x14ac:dyDescent="0.35">
      <c r="B916" s="25" t="s">
        <v>411</v>
      </c>
      <c r="C916" s="27">
        <v>7</v>
      </c>
      <c r="D916" s="26" t="s">
        <v>1681</v>
      </c>
      <c r="E916" s="27">
        <v>1</v>
      </c>
      <c r="F916" s="42"/>
    </row>
    <row r="917" spans="2:6" x14ac:dyDescent="0.35">
      <c r="B917" s="25" t="s">
        <v>411</v>
      </c>
      <c r="C917" s="27">
        <v>8</v>
      </c>
      <c r="D917" s="26" t="s">
        <v>1682</v>
      </c>
      <c r="E917" s="27">
        <v>1</v>
      </c>
      <c r="F917" s="42"/>
    </row>
    <row r="918" spans="2:6" ht="29" x14ac:dyDescent="0.35">
      <c r="B918" s="25" t="s">
        <v>411</v>
      </c>
      <c r="C918" s="27">
        <v>9</v>
      </c>
      <c r="D918" s="26" t="s">
        <v>1683</v>
      </c>
      <c r="E918" s="27">
        <v>1</v>
      </c>
      <c r="F918" s="42"/>
    </row>
    <row r="919" spans="2:6" x14ac:dyDescent="0.35">
      <c r="B919" s="25" t="s">
        <v>411</v>
      </c>
      <c r="C919" s="27">
        <v>10</v>
      </c>
      <c r="D919" s="26" t="s">
        <v>1684</v>
      </c>
      <c r="E919" s="27">
        <v>1</v>
      </c>
      <c r="F919" s="42"/>
    </row>
    <row r="920" spans="2:6" ht="29" x14ac:dyDescent="0.35">
      <c r="B920" s="25" t="s">
        <v>411</v>
      </c>
      <c r="C920" s="27">
        <v>11</v>
      </c>
      <c r="D920" s="26" t="s">
        <v>1685</v>
      </c>
      <c r="E920" s="27">
        <v>1</v>
      </c>
      <c r="F920" s="42"/>
    </row>
    <row r="921" spans="2:6" x14ac:dyDescent="0.35">
      <c r="B921" s="25" t="s">
        <v>411</v>
      </c>
      <c r="C921" s="27">
        <v>12</v>
      </c>
      <c r="D921" s="26" t="s">
        <v>1686</v>
      </c>
      <c r="E921" s="27">
        <v>1</v>
      </c>
      <c r="F921" s="42"/>
    </row>
    <row r="922" spans="2:6" x14ac:dyDescent="0.35">
      <c r="B922" s="25" t="s">
        <v>411</v>
      </c>
      <c r="C922" s="27">
        <v>13</v>
      </c>
      <c r="D922" s="26" t="s">
        <v>1687</v>
      </c>
      <c r="E922" s="27">
        <v>1</v>
      </c>
      <c r="F922" s="42"/>
    </row>
    <row r="923" spans="2:6" x14ac:dyDescent="0.35">
      <c r="B923" s="25" t="s">
        <v>411</v>
      </c>
      <c r="C923" s="27">
        <v>14</v>
      </c>
      <c r="D923" s="26" t="s">
        <v>1688</v>
      </c>
      <c r="E923" s="27">
        <v>1</v>
      </c>
      <c r="F923" s="42"/>
    </row>
    <row r="924" spans="2:6" x14ac:dyDescent="0.35">
      <c r="B924" s="25" t="s">
        <v>411</v>
      </c>
      <c r="C924" s="27">
        <v>15</v>
      </c>
      <c r="D924" s="26" t="s">
        <v>1689</v>
      </c>
      <c r="E924" s="27">
        <v>1</v>
      </c>
      <c r="F924" s="42"/>
    </row>
    <row r="925" spans="2:6" x14ac:dyDescent="0.35">
      <c r="B925" s="25" t="s">
        <v>411</v>
      </c>
      <c r="C925" s="27">
        <v>16</v>
      </c>
      <c r="D925" s="26" t="s">
        <v>1690</v>
      </c>
      <c r="E925" s="27">
        <v>1</v>
      </c>
      <c r="F925" s="42"/>
    </row>
    <row r="926" spans="2:6" x14ac:dyDescent="0.35">
      <c r="B926" s="25" t="s">
        <v>411</v>
      </c>
      <c r="C926" s="27">
        <v>17</v>
      </c>
      <c r="D926" s="26" t="s">
        <v>1691</v>
      </c>
      <c r="E926" s="27">
        <v>1</v>
      </c>
      <c r="F926" s="42"/>
    </row>
    <row r="927" spans="2:6" x14ac:dyDescent="0.35">
      <c r="B927" s="25" t="s">
        <v>411</v>
      </c>
      <c r="C927" s="27">
        <v>18</v>
      </c>
      <c r="D927" s="26" t="s">
        <v>1692</v>
      </c>
      <c r="E927" s="27">
        <v>1</v>
      </c>
      <c r="F927" s="42"/>
    </row>
    <row r="928" spans="2:6" x14ac:dyDescent="0.35">
      <c r="B928" s="25" t="s">
        <v>411</v>
      </c>
      <c r="C928" s="27">
        <v>19</v>
      </c>
      <c r="D928" s="26" t="s">
        <v>1693</v>
      </c>
      <c r="E928" s="27">
        <v>1</v>
      </c>
      <c r="F928" s="42"/>
    </row>
    <row r="929" spans="2:6" x14ac:dyDescent="0.35">
      <c r="B929" s="25" t="s">
        <v>411</v>
      </c>
      <c r="C929" s="27">
        <v>20</v>
      </c>
      <c r="D929" s="26" t="s">
        <v>1694</v>
      </c>
      <c r="E929" s="27">
        <v>1</v>
      </c>
      <c r="F929" s="42"/>
    </row>
    <row r="930" spans="2:6" x14ac:dyDescent="0.35">
      <c r="B930" s="25" t="s">
        <v>411</v>
      </c>
      <c r="C930" s="27">
        <v>21</v>
      </c>
      <c r="D930" s="26" t="s">
        <v>1695</v>
      </c>
      <c r="E930" s="27">
        <v>1</v>
      </c>
      <c r="F930" s="42"/>
    </row>
    <row r="931" spans="2:6" x14ac:dyDescent="0.35">
      <c r="B931" s="25" t="s">
        <v>411</v>
      </c>
      <c r="C931" s="27">
        <v>22</v>
      </c>
      <c r="D931" s="26" t="s">
        <v>1696</v>
      </c>
      <c r="E931" s="27">
        <v>1</v>
      </c>
      <c r="F931" s="42"/>
    </row>
    <row r="932" spans="2:6" x14ac:dyDescent="0.35">
      <c r="B932" s="25" t="s">
        <v>411</v>
      </c>
      <c r="C932" s="27">
        <v>23</v>
      </c>
      <c r="D932" s="26" t="s">
        <v>1697</v>
      </c>
      <c r="E932" s="27">
        <v>1</v>
      </c>
      <c r="F932" s="42"/>
    </row>
    <row r="933" spans="2:6" x14ac:dyDescent="0.35">
      <c r="B933" s="25" t="s">
        <v>411</v>
      </c>
      <c r="C933" s="27">
        <v>24</v>
      </c>
      <c r="D933" s="26" t="s">
        <v>1698</v>
      </c>
      <c r="E933" s="27">
        <v>1</v>
      </c>
      <c r="F933" s="42"/>
    </row>
    <row r="934" spans="2:6" x14ac:dyDescent="0.35">
      <c r="B934" s="25" t="s">
        <v>411</v>
      </c>
      <c r="C934" s="27">
        <v>25</v>
      </c>
      <c r="D934" s="26" t="s">
        <v>1699</v>
      </c>
      <c r="E934" s="27">
        <v>1</v>
      </c>
      <c r="F934" s="42"/>
    </row>
    <row r="935" spans="2:6" x14ac:dyDescent="0.35">
      <c r="B935" s="25" t="s">
        <v>411</v>
      </c>
      <c r="C935" s="27">
        <v>26</v>
      </c>
      <c r="D935" s="26" t="s">
        <v>1700</v>
      </c>
      <c r="E935" s="27">
        <v>1</v>
      </c>
      <c r="F935" s="42"/>
    </row>
    <row r="936" spans="2:6" x14ac:dyDescent="0.35">
      <c r="B936" s="25" t="s">
        <v>411</v>
      </c>
      <c r="C936" s="27">
        <v>27</v>
      </c>
      <c r="D936" s="26" t="s">
        <v>1701</v>
      </c>
      <c r="E936" s="27">
        <v>1</v>
      </c>
      <c r="F936" s="42"/>
    </row>
    <row r="937" spans="2:6" x14ac:dyDescent="0.35">
      <c r="B937" s="25" t="s">
        <v>411</v>
      </c>
      <c r="C937" s="27">
        <v>28</v>
      </c>
      <c r="D937" s="26" t="s">
        <v>1702</v>
      </c>
      <c r="E937" s="27">
        <v>1</v>
      </c>
      <c r="F937" s="42"/>
    </row>
    <row r="938" spans="2:6" x14ac:dyDescent="0.35">
      <c r="B938" s="25" t="s">
        <v>411</v>
      </c>
      <c r="C938" s="27">
        <v>29</v>
      </c>
      <c r="D938" s="26" t="s">
        <v>1703</v>
      </c>
      <c r="E938" s="27">
        <v>1</v>
      </c>
      <c r="F938" s="42"/>
    </row>
    <row r="939" spans="2:6" ht="29" x14ac:dyDescent="0.35">
      <c r="B939" s="25" t="s">
        <v>411</v>
      </c>
      <c r="C939" s="27">
        <v>30</v>
      </c>
      <c r="D939" s="26" t="s">
        <v>1704</v>
      </c>
      <c r="E939" s="27">
        <v>1</v>
      </c>
      <c r="F939" s="42"/>
    </row>
    <row r="940" spans="2:6" x14ac:dyDescent="0.35">
      <c r="B940" s="25" t="s">
        <v>411</v>
      </c>
      <c r="C940" s="27">
        <v>31</v>
      </c>
      <c r="D940" s="26" t="s">
        <v>1705</v>
      </c>
      <c r="E940" s="27">
        <v>1</v>
      </c>
      <c r="F940" s="42"/>
    </row>
    <row r="941" spans="2:6" x14ac:dyDescent="0.35">
      <c r="B941" s="25" t="s">
        <v>411</v>
      </c>
      <c r="C941" s="27">
        <v>32</v>
      </c>
      <c r="D941" s="26" t="s">
        <v>1706</v>
      </c>
      <c r="E941" s="27">
        <v>1</v>
      </c>
      <c r="F941" s="42"/>
    </row>
    <row r="942" spans="2:6" ht="29" x14ac:dyDescent="0.35">
      <c r="B942" s="25" t="s">
        <v>300</v>
      </c>
      <c r="C942" s="27">
        <v>1</v>
      </c>
      <c r="D942" s="26" t="s">
        <v>1707</v>
      </c>
      <c r="E942" s="27">
        <v>1</v>
      </c>
      <c r="F942" s="42"/>
    </row>
    <row r="943" spans="2:6" ht="29" x14ac:dyDescent="0.35">
      <c r="B943" s="25" t="s">
        <v>300</v>
      </c>
      <c r="C943" s="27">
        <v>2</v>
      </c>
      <c r="D943" s="26" t="s">
        <v>1708</v>
      </c>
      <c r="E943" s="27">
        <v>1</v>
      </c>
      <c r="F943" s="42"/>
    </row>
    <row r="944" spans="2:6" x14ac:dyDescent="0.35">
      <c r="B944" s="25" t="s">
        <v>300</v>
      </c>
      <c r="C944" s="27">
        <v>3</v>
      </c>
      <c r="D944" s="26" t="s">
        <v>1709</v>
      </c>
      <c r="E944" s="27">
        <v>1</v>
      </c>
      <c r="F944" s="42"/>
    </row>
    <row r="945" spans="2:6" ht="29" x14ac:dyDescent="0.35">
      <c r="B945" s="25" t="s">
        <v>300</v>
      </c>
      <c r="C945" s="27">
        <v>4</v>
      </c>
      <c r="D945" s="26" t="s">
        <v>1710</v>
      </c>
      <c r="E945" s="27">
        <v>1</v>
      </c>
      <c r="F945" s="42"/>
    </row>
    <row r="946" spans="2:6" ht="29" x14ac:dyDescent="0.35">
      <c r="B946" s="25" t="s">
        <v>300</v>
      </c>
      <c r="C946" s="27">
        <v>5</v>
      </c>
      <c r="D946" s="26" t="s">
        <v>1711</v>
      </c>
      <c r="E946" s="27">
        <v>1</v>
      </c>
      <c r="F946" s="42"/>
    </row>
    <row r="947" spans="2:6" ht="29" x14ac:dyDescent="0.35">
      <c r="B947" s="25" t="s">
        <v>300</v>
      </c>
      <c r="C947" s="27">
        <v>6</v>
      </c>
      <c r="D947" s="26" t="s">
        <v>1712</v>
      </c>
      <c r="E947" s="27">
        <v>1</v>
      </c>
      <c r="F947" s="42"/>
    </row>
    <row r="948" spans="2:6" ht="43.5" x14ac:dyDescent="0.35">
      <c r="B948" s="25" t="s">
        <v>300</v>
      </c>
      <c r="C948" s="27">
        <v>7</v>
      </c>
      <c r="D948" s="26" t="s">
        <v>1713</v>
      </c>
      <c r="E948" s="27">
        <v>1</v>
      </c>
      <c r="F948" s="42"/>
    </row>
    <row r="949" spans="2:6" ht="29" x14ac:dyDescent="0.35">
      <c r="B949" s="25" t="s">
        <v>300</v>
      </c>
      <c r="C949" s="27">
        <v>8</v>
      </c>
      <c r="D949" s="26" t="s">
        <v>1714</v>
      </c>
      <c r="E949" s="27">
        <v>1</v>
      </c>
      <c r="F949" s="42"/>
    </row>
    <row r="950" spans="2:6" ht="29" x14ac:dyDescent="0.35">
      <c r="B950" s="25" t="s">
        <v>300</v>
      </c>
      <c r="C950" s="27">
        <v>9</v>
      </c>
      <c r="D950" s="26" t="s">
        <v>1715</v>
      </c>
      <c r="E950" s="27">
        <v>1</v>
      </c>
      <c r="F950" s="42"/>
    </row>
    <row r="951" spans="2:6" ht="29" x14ac:dyDescent="0.35">
      <c r="B951" s="25" t="s">
        <v>300</v>
      </c>
      <c r="C951" s="27">
        <v>10</v>
      </c>
      <c r="D951" s="26" t="s">
        <v>1716</v>
      </c>
      <c r="E951" s="27">
        <v>1</v>
      </c>
      <c r="F951" s="42"/>
    </row>
    <row r="952" spans="2:6" ht="29" x14ac:dyDescent="0.35">
      <c r="B952" s="25" t="s">
        <v>300</v>
      </c>
      <c r="C952" s="27">
        <v>11</v>
      </c>
      <c r="D952" s="26" t="s">
        <v>1717</v>
      </c>
      <c r="E952" s="27">
        <v>1</v>
      </c>
      <c r="F952" s="42"/>
    </row>
    <row r="953" spans="2:6" ht="29" x14ac:dyDescent="0.35">
      <c r="B953" s="25" t="s">
        <v>300</v>
      </c>
      <c r="C953" s="27">
        <v>12</v>
      </c>
      <c r="D953" s="26" t="s">
        <v>1718</v>
      </c>
      <c r="E953" s="27">
        <v>1</v>
      </c>
      <c r="F953" s="42"/>
    </row>
    <row r="954" spans="2:6" ht="29" x14ac:dyDescent="0.35">
      <c r="B954" s="25" t="s">
        <v>300</v>
      </c>
      <c r="C954" s="27">
        <v>13</v>
      </c>
      <c r="D954" s="26" t="s">
        <v>1719</v>
      </c>
      <c r="E954" s="27">
        <v>1</v>
      </c>
      <c r="F954" s="42"/>
    </row>
    <row r="955" spans="2:6" ht="29" x14ac:dyDescent="0.35">
      <c r="B955" s="25" t="s">
        <v>300</v>
      </c>
      <c r="C955" s="27">
        <v>14</v>
      </c>
      <c r="D955" s="26" t="s">
        <v>1720</v>
      </c>
      <c r="E955" s="27">
        <v>1</v>
      </c>
      <c r="F955" s="42"/>
    </row>
    <row r="956" spans="2:6" ht="29" x14ac:dyDescent="0.35">
      <c r="B956" s="25" t="s">
        <v>300</v>
      </c>
      <c r="C956" s="27">
        <v>15</v>
      </c>
      <c r="D956" s="26" t="s">
        <v>1721</v>
      </c>
      <c r="E956" s="27">
        <v>1</v>
      </c>
      <c r="F956" s="42"/>
    </row>
    <row r="957" spans="2:6" ht="43.5" x14ac:dyDescent="0.35">
      <c r="B957" s="25" t="s">
        <v>300</v>
      </c>
      <c r="C957" s="27">
        <v>16</v>
      </c>
      <c r="D957" s="26" t="s">
        <v>1722</v>
      </c>
      <c r="E957" s="27">
        <v>1</v>
      </c>
      <c r="F957" s="42"/>
    </row>
    <row r="958" spans="2:6" ht="29" x14ac:dyDescent="0.35">
      <c r="B958" s="25" t="s">
        <v>300</v>
      </c>
      <c r="C958" s="27">
        <v>17</v>
      </c>
      <c r="D958" s="26" t="s">
        <v>1723</v>
      </c>
      <c r="E958" s="27">
        <v>1</v>
      </c>
      <c r="F958" s="42"/>
    </row>
    <row r="959" spans="2:6" ht="29" x14ac:dyDescent="0.35">
      <c r="B959" s="25" t="s">
        <v>300</v>
      </c>
      <c r="C959" s="27">
        <v>18</v>
      </c>
      <c r="D959" s="26" t="s">
        <v>1724</v>
      </c>
      <c r="E959" s="27">
        <v>1</v>
      </c>
      <c r="F959" s="42"/>
    </row>
    <row r="960" spans="2:6" ht="29" x14ac:dyDescent="0.35">
      <c r="B960" s="25" t="s">
        <v>300</v>
      </c>
      <c r="C960" s="27">
        <v>19</v>
      </c>
      <c r="D960" s="26" t="s">
        <v>1725</v>
      </c>
      <c r="E960" s="27">
        <v>1</v>
      </c>
      <c r="F960" s="42"/>
    </row>
    <row r="961" spans="2:6" ht="43.5" x14ac:dyDescent="0.35">
      <c r="B961" s="25" t="s">
        <v>300</v>
      </c>
      <c r="C961" s="27">
        <v>20</v>
      </c>
      <c r="D961" s="26" t="s">
        <v>1726</v>
      </c>
      <c r="E961" s="27">
        <v>1</v>
      </c>
      <c r="F961" s="42"/>
    </row>
    <row r="962" spans="2:6" ht="43.5" x14ac:dyDescent="0.35">
      <c r="B962" s="25" t="s">
        <v>300</v>
      </c>
      <c r="C962" s="27">
        <v>21</v>
      </c>
      <c r="D962" s="26" t="s">
        <v>1727</v>
      </c>
      <c r="E962" s="27">
        <v>1</v>
      </c>
      <c r="F962" s="42"/>
    </row>
    <row r="963" spans="2:6" ht="29" x14ac:dyDescent="0.35">
      <c r="B963" s="25" t="s">
        <v>300</v>
      </c>
      <c r="C963" s="27">
        <v>22</v>
      </c>
      <c r="D963" s="26" t="s">
        <v>1728</v>
      </c>
      <c r="E963" s="27">
        <v>1</v>
      </c>
      <c r="F963" s="42"/>
    </row>
    <row r="964" spans="2:6" ht="29" x14ac:dyDescent="0.35">
      <c r="B964" s="25" t="s">
        <v>300</v>
      </c>
      <c r="C964" s="27">
        <v>23</v>
      </c>
      <c r="D964" s="26" t="s">
        <v>1729</v>
      </c>
      <c r="E964" s="27">
        <v>1</v>
      </c>
      <c r="F964" s="42"/>
    </row>
    <row r="965" spans="2:6" ht="29" x14ac:dyDescent="0.35">
      <c r="B965" s="25" t="s">
        <v>300</v>
      </c>
      <c r="C965" s="27">
        <v>24</v>
      </c>
      <c r="D965" s="26" t="s">
        <v>1730</v>
      </c>
      <c r="E965" s="27">
        <v>1</v>
      </c>
      <c r="F965" s="42"/>
    </row>
    <row r="966" spans="2:6" ht="43.5" x14ac:dyDescent="0.35">
      <c r="B966" s="25" t="s">
        <v>300</v>
      </c>
      <c r="C966" s="27">
        <v>25</v>
      </c>
      <c r="D966" s="26" t="s">
        <v>1731</v>
      </c>
      <c r="E966" s="27">
        <v>1</v>
      </c>
      <c r="F966" s="42"/>
    </row>
    <row r="967" spans="2:6" ht="29" x14ac:dyDescent="0.35">
      <c r="B967" s="25" t="s">
        <v>300</v>
      </c>
      <c r="C967" s="27">
        <v>26</v>
      </c>
      <c r="D967" s="26" t="s">
        <v>1732</v>
      </c>
      <c r="E967" s="27">
        <v>1</v>
      </c>
      <c r="F967" s="42"/>
    </row>
    <row r="968" spans="2:6" ht="29" x14ac:dyDescent="0.35">
      <c r="B968" s="25" t="s">
        <v>300</v>
      </c>
      <c r="C968" s="27">
        <v>27</v>
      </c>
      <c r="D968" s="26" t="s">
        <v>1733</v>
      </c>
      <c r="E968" s="27">
        <v>1</v>
      </c>
      <c r="F968" s="42"/>
    </row>
    <row r="969" spans="2:6" ht="43.5" x14ac:dyDescent="0.35">
      <c r="B969" s="25" t="s">
        <v>300</v>
      </c>
      <c r="C969" s="27">
        <v>28</v>
      </c>
      <c r="D969" s="26" t="s">
        <v>1734</v>
      </c>
      <c r="E969" s="27">
        <v>1</v>
      </c>
      <c r="F969" s="42"/>
    </row>
    <row r="970" spans="2:6" ht="43.5" x14ac:dyDescent="0.35">
      <c r="B970" s="25" t="s">
        <v>300</v>
      </c>
      <c r="C970" s="27">
        <v>29</v>
      </c>
      <c r="D970" s="26" t="s">
        <v>1735</v>
      </c>
      <c r="E970" s="27">
        <v>1</v>
      </c>
      <c r="F970" s="42"/>
    </row>
    <row r="971" spans="2:6" ht="43.5" x14ac:dyDescent="0.35">
      <c r="B971" s="25" t="s">
        <v>300</v>
      </c>
      <c r="C971" s="27">
        <v>30</v>
      </c>
      <c r="D971" s="26" t="s">
        <v>1736</v>
      </c>
      <c r="E971" s="27">
        <v>1</v>
      </c>
      <c r="F971" s="42"/>
    </row>
    <row r="972" spans="2:6" ht="29" x14ac:dyDescent="0.35">
      <c r="B972" s="25" t="s">
        <v>300</v>
      </c>
      <c r="C972" s="27">
        <v>31</v>
      </c>
      <c r="D972" s="26" t="s">
        <v>1737</v>
      </c>
      <c r="E972" s="27">
        <v>1</v>
      </c>
      <c r="F972" s="42"/>
    </row>
    <row r="973" spans="2:6" ht="43.5" x14ac:dyDescent="0.35">
      <c r="B973" s="25" t="s">
        <v>300</v>
      </c>
      <c r="C973" s="27">
        <v>32</v>
      </c>
      <c r="D973" s="26" t="s">
        <v>1738</v>
      </c>
      <c r="E973" s="27">
        <v>1</v>
      </c>
      <c r="F973" s="42"/>
    </row>
    <row r="974" spans="2:6" ht="58" x14ac:dyDescent="0.35">
      <c r="B974" s="25" t="s">
        <v>300</v>
      </c>
      <c r="C974" s="27">
        <v>33</v>
      </c>
      <c r="D974" s="26" t="s">
        <v>1739</v>
      </c>
      <c r="E974" s="27">
        <v>1</v>
      </c>
      <c r="F974" s="42"/>
    </row>
    <row r="975" spans="2:6" ht="29" x14ac:dyDescent="0.35">
      <c r="B975" s="25" t="s">
        <v>300</v>
      </c>
      <c r="C975" s="27">
        <v>34</v>
      </c>
      <c r="D975" s="26" t="s">
        <v>1740</v>
      </c>
      <c r="E975" s="27">
        <v>1</v>
      </c>
      <c r="F975" s="42"/>
    </row>
    <row r="976" spans="2:6" ht="29" x14ac:dyDescent="0.35">
      <c r="B976" s="25" t="s">
        <v>300</v>
      </c>
      <c r="C976" s="27">
        <v>35</v>
      </c>
      <c r="D976" s="26" t="s">
        <v>1741</v>
      </c>
      <c r="E976" s="27">
        <v>1</v>
      </c>
      <c r="F976" s="42"/>
    </row>
    <row r="977" spans="2:6" ht="43.5" x14ac:dyDescent="0.35">
      <c r="B977" s="25" t="s">
        <v>300</v>
      </c>
      <c r="C977" s="27">
        <v>36</v>
      </c>
      <c r="D977" s="26" t="s">
        <v>1742</v>
      </c>
      <c r="E977" s="27">
        <v>1</v>
      </c>
      <c r="F977" s="42"/>
    </row>
    <row r="978" spans="2:6" ht="43.5" x14ac:dyDescent="0.35">
      <c r="B978" s="25" t="s">
        <v>300</v>
      </c>
      <c r="C978" s="27">
        <v>37</v>
      </c>
      <c r="D978" s="26" t="s">
        <v>1743</v>
      </c>
      <c r="E978" s="27">
        <v>1</v>
      </c>
      <c r="F978" s="42"/>
    </row>
    <row r="979" spans="2:6" ht="29" x14ac:dyDescent="0.35">
      <c r="B979" s="25" t="s">
        <v>300</v>
      </c>
      <c r="C979" s="27">
        <v>38</v>
      </c>
      <c r="D979" s="26" t="s">
        <v>1744</v>
      </c>
      <c r="E979" s="27">
        <v>1</v>
      </c>
      <c r="F979" s="42"/>
    </row>
    <row r="980" spans="2:6" ht="29" x14ac:dyDescent="0.35">
      <c r="B980" s="25" t="s">
        <v>300</v>
      </c>
      <c r="C980" s="27">
        <v>39</v>
      </c>
      <c r="D980" s="26" t="s">
        <v>1745</v>
      </c>
      <c r="E980" s="27">
        <v>1</v>
      </c>
      <c r="F980" s="42"/>
    </row>
    <row r="981" spans="2:6" ht="29" x14ac:dyDescent="0.35">
      <c r="B981" s="25" t="s">
        <v>300</v>
      </c>
      <c r="C981" s="27">
        <v>40</v>
      </c>
      <c r="D981" s="26" t="s">
        <v>1746</v>
      </c>
      <c r="E981" s="27">
        <v>1</v>
      </c>
      <c r="F981" s="42"/>
    </row>
    <row r="982" spans="2:6" ht="43.5" x14ac:dyDescent="0.35">
      <c r="B982" s="25" t="s">
        <v>300</v>
      </c>
      <c r="C982" s="27">
        <v>41</v>
      </c>
      <c r="D982" s="26" t="s">
        <v>1747</v>
      </c>
      <c r="E982" s="27">
        <v>1</v>
      </c>
      <c r="F982" s="42"/>
    </row>
    <row r="983" spans="2:6" ht="43.5" x14ac:dyDescent="0.35">
      <c r="B983" s="25" t="s">
        <v>300</v>
      </c>
      <c r="C983" s="27">
        <v>42</v>
      </c>
      <c r="D983" s="26" t="s">
        <v>1748</v>
      </c>
      <c r="E983" s="27">
        <v>1</v>
      </c>
      <c r="F983" s="42"/>
    </row>
    <row r="984" spans="2:6" ht="29" x14ac:dyDescent="0.35">
      <c r="B984" s="25" t="s">
        <v>300</v>
      </c>
      <c r="C984" s="27">
        <v>43</v>
      </c>
      <c r="D984" s="26" t="s">
        <v>1749</v>
      </c>
      <c r="E984" s="27">
        <v>1</v>
      </c>
      <c r="F984" s="42"/>
    </row>
    <row r="985" spans="2:6" ht="43.5" x14ac:dyDescent="0.35">
      <c r="B985" s="25" t="s">
        <v>300</v>
      </c>
      <c r="C985" s="27">
        <v>44</v>
      </c>
      <c r="D985" s="26" t="s">
        <v>1750</v>
      </c>
      <c r="E985" s="27">
        <v>1</v>
      </c>
      <c r="F985" s="42"/>
    </row>
    <row r="986" spans="2:6" ht="43.5" x14ac:dyDescent="0.35">
      <c r="B986" s="25" t="s">
        <v>300</v>
      </c>
      <c r="C986" s="27">
        <v>45</v>
      </c>
      <c r="D986" s="26" t="s">
        <v>1751</v>
      </c>
      <c r="E986" s="27">
        <v>1</v>
      </c>
      <c r="F986" s="42"/>
    </row>
    <row r="987" spans="2:6" ht="29" x14ac:dyDescent="0.35">
      <c r="B987" s="25" t="s">
        <v>300</v>
      </c>
      <c r="C987" s="27">
        <v>46</v>
      </c>
      <c r="D987" s="26" t="s">
        <v>1752</v>
      </c>
      <c r="E987" s="27">
        <v>1</v>
      </c>
      <c r="F987" s="42"/>
    </row>
    <row r="988" spans="2:6" ht="29" x14ac:dyDescent="0.35">
      <c r="B988" s="25" t="s">
        <v>300</v>
      </c>
      <c r="C988" s="27">
        <v>47</v>
      </c>
      <c r="D988" s="26" t="s">
        <v>1753</v>
      </c>
      <c r="E988" s="27">
        <v>1</v>
      </c>
      <c r="F988" s="42"/>
    </row>
    <row r="989" spans="2:6" ht="58" x14ac:dyDescent="0.35">
      <c r="B989" s="25" t="s">
        <v>300</v>
      </c>
      <c r="C989" s="27">
        <v>48</v>
      </c>
      <c r="D989" s="26" t="s">
        <v>1754</v>
      </c>
      <c r="E989" s="27">
        <v>1</v>
      </c>
      <c r="F989" s="42"/>
    </row>
    <row r="990" spans="2:6" ht="43.5" x14ac:dyDescent="0.35">
      <c r="B990" s="25" t="s">
        <v>300</v>
      </c>
      <c r="C990" s="27">
        <v>49</v>
      </c>
      <c r="D990" s="26" t="s">
        <v>1755</v>
      </c>
      <c r="E990" s="27">
        <v>1</v>
      </c>
      <c r="F990" s="42"/>
    </row>
    <row r="991" spans="2:6" ht="43.5" x14ac:dyDescent="0.35">
      <c r="B991" s="25" t="s">
        <v>300</v>
      </c>
      <c r="C991" s="27">
        <v>50</v>
      </c>
      <c r="D991" s="26" t="s">
        <v>1756</v>
      </c>
      <c r="E991" s="27">
        <v>1</v>
      </c>
      <c r="F991" s="42"/>
    </row>
    <row r="992" spans="2:6" ht="43.5" x14ac:dyDescent="0.35">
      <c r="B992" s="25" t="s">
        <v>300</v>
      </c>
      <c r="C992" s="27">
        <v>51</v>
      </c>
      <c r="D992" s="26" t="s">
        <v>1757</v>
      </c>
      <c r="E992" s="27">
        <v>1</v>
      </c>
      <c r="F992" s="42"/>
    </row>
    <row r="993" spans="2:6" ht="29" x14ac:dyDescent="0.35">
      <c r="B993" s="25" t="s">
        <v>300</v>
      </c>
      <c r="C993" s="27">
        <v>52</v>
      </c>
      <c r="D993" s="26" t="s">
        <v>1758</v>
      </c>
      <c r="E993" s="27">
        <v>1</v>
      </c>
      <c r="F993" s="42"/>
    </row>
    <row r="994" spans="2:6" ht="43.5" x14ac:dyDescent="0.35">
      <c r="B994" s="25" t="s">
        <v>300</v>
      </c>
      <c r="C994" s="27">
        <v>53</v>
      </c>
      <c r="D994" s="26" t="s">
        <v>1759</v>
      </c>
      <c r="E994" s="27">
        <v>1</v>
      </c>
      <c r="F994" s="42"/>
    </row>
    <row r="995" spans="2:6" ht="29" x14ac:dyDescent="0.35">
      <c r="B995" s="25" t="s">
        <v>300</v>
      </c>
      <c r="C995" s="27">
        <v>54</v>
      </c>
      <c r="D995" s="26" t="s">
        <v>1760</v>
      </c>
      <c r="E995" s="27">
        <v>1</v>
      </c>
      <c r="F995" s="42"/>
    </row>
    <row r="996" spans="2:6" ht="29" x14ac:dyDescent="0.35">
      <c r="B996" s="25" t="s">
        <v>300</v>
      </c>
      <c r="C996" s="27">
        <v>55</v>
      </c>
      <c r="D996" s="26" t="s">
        <v>1761</v>
      </c>
      <c r="E996" s="27">
        <v>1</v>
      </c>
      <c r="F996" s="42"/>
    </row>
    <row r="997" spans="2:6" ht="29" x14ac:dyDescent="0.35">
      <c r="B997" s="25" t="s">
        <v>300</v>
      </c>
      <c r="C997" s="27">
        <v>56</v>
      </c>
      <c r="D997" s="26" t="s">
        <v>1762</v>
      </c>
      <c r="E997" s="27">
        <v>1</v>
      </c>
      <c r="F997" s="42"/>
    </row>
    <row r="998" spans="2:6" ht="43.5" x14ac:dyDescent="0.35">
      <c r="B998" s="25" t="s">
        <v>300</v>
      </c>
      <c r="C998" s="27">
        <v>57</v>
      </c>
      <c r="D998" s="26" t="s">
        <v>1763</v>
      </c>
      <c r="E998" s="27">
        <v>1</v>
      </c>
      <c r="F998" s="42"/>
    </row>
    <row r="999" spans="2:6" ht="29" x14ac:dyDescent="0.35">
      <c r="B999" s="25" t="s">
        <v>300</v>
      </c>
      <c r="C999" s="27">
        <v>58</v>
      </c>
      <c r="D999" s="26" t="s">
        <v>1764</v>
      </c>
      <c r="E999" s="27">
        <v>1</v>
      </c>
      <c r="F999" s="42"/>
    </row>
    <row r="1000" spans="2:6" ht="43.5" x14ac:dyDescent="0.35">
      <c r="B1000" s="25" t="s">
        <v>300</v>
      </c>
      <c r="C1000" s="27">
        <v>59</v>
      </c>
      <c r="D1000" s="26" t="s">
        <v>1765</v>
      </c>
      <c r="E1000" s="27">
        <v>1</v>
      </c>
      <c r="F1000" s="42"/>
    </row>
    <row r="1001" spans="2:6" ht="29" x14ac:dyDescent="0.35">
      <c r="B1001" s="25" t="s">
        <v>300</v>
      </c>
      <c r="C1001" s="27">
        <v>60</v>
      </c>
      <c r="D1001" s="26" t="s">
        <v>1766</v>
      </c>
      <c r="E1001" s="27">
        <v>1</v>
      </c>
      <c r="F1001" s="42"/>
    </row>
    <row r="1002" spans="2:6" ht="58" x14ac:dyDescent="0.35">
      <c r="B1002" s="25" t="s">
        <v>300</v>
      </c>
      <c r="C1002" s="27">
        <v>61</v>
      </c>
      <c r="D1002" s="26" t="s">
        <v>1767</v>
      </c>
      <c r="E1002" s="27">
        <v>1</v>
      </c>
      <c r="F1002" s="42"/>
    </row>
    <row r="1003" spans="2:6" ht="72.5" x14ac:dyDescent="0.35">
      <c r="B1003" s="25" t="s">
        <v>300</v>
      </c>
      <c r="C1003" s="27">
        <v>62</v>
      </c>
      <c r="D1003" s="26" t="s">
        <v>1768</v>
      </c>
      <c r="E1003" s="27">
        <v>1</v>
      </c>
      <c r="F1003" s="42"/>
    </row>
    <row r="1004" spans="2:6" ht="29" x14ac:dyDescent="0.35">
      <c r="B1004" s="25" t="s">
        <v>300</v>
      </c>
      <c r="C1004" s="27">
        <v>63</v>
      </c>
      <c r="D1004" s="26" t="s">
        <v>1769</v>
      </c>
      <c r="E1004" s="27">
        <v>1</v>
      </c>
      <c r="F1004" s="42"/>
    </row>
    <row r="1005" spans="2:6" ht="43.5" x14ac:dyDescent="0.35">
      <c r="B1005" s="25" t="s">
        <v>300</v>
      </c>
      <c r="C1005" s="27">
        <v>64</v>
      </c>
      <c r="D1005" s="26" t="s">
        <v>1770</v>
      </c>
      <c r="E1005" s="27">
        <v>1</v>
      </c>
      <c r="F1005" s="42"/>
    </row>
    <row r="1006" spans="2:6" ht="43.5" x14ac:dyDescent="0.35">
      <c r="B1006" s="25" t="s">
        <v>300</v>
      </c>
      <c r="C1006" s="27">
        <v>65</v>
      </c>
      <c r="D1006" s="26" t="s">
        <v>1771</v>
      </c>
      <c r="E1006" s="27">
        <v>1</v>
      </c>
      <c r="F1006" s="42"/>
    </row>
    <row r="1007" spans="2:6" ht="29" x14ac:dyDescent="0.35">
      <c r="B1007" s="25" t="s">
        <v>300</v>
      </c>
      <c r="C1007" s="27">
        <v>66</v>
      </c>
      <c r="D1007" s="26" t="s">
        <v>1772</v>
      </c>
      <c r="E1007" s="27">
        <v>1</v>
      </c>
      <c r="F1007" s="42"/>
    </row>
    <row r="1008" spans="2:6" ht="29" x14ac:dyDescent="0.35">
      <c r="B1008" s="25" t="s">
        <v>300</v>
      </c>
      <c r="C1008" s="27">
        <v>67</v>
      </c>
      <c r="D1008" s="26" t="s">
        <v>1773</v>
      </c>
      <c r="E1008" s="27">
        <v>1</v>
      </c>
      <c r="F1008" s="42"/>
    </row>
    <row r="1009" spans="2:6" x14ac:dyDescent="0.35">
      <c r="B1009" s="25" t="s">
        <v>300</v>
      </c>
      <c r="C1009" s="27">
        <v>68</v>
      </c>
      <c r="D1009" s="26" t="s">
        <v>1774</v>
      </c>
      <c r="E1009" s="27">
        <v>1</v>
      </c>
      <c r="F1009" s="42"/>
    </row>
    <row r="1010" spans="2:6" ht="29" x14ac:dyDescent="0.35">
      <c r="B1010" s="25" t="s">
        <v>300</v>
      </c>
      <c r="C1010" s="27">
        <v>69</v>
      </c>
      <c r="D1010" s="26" t="s">
        <v>1775</v>
      </c>
      <c r="E1010" s="27">
        <v>1</v>
      </c>
      <c r="F1010" s="42"/>
    </row>
    <row r="1011" spans="2:6" ht="29" x14ac:dyDescent="0.35">
      <c r="B1011" s="25" t="s">
        <v>300</v>
      </c>
      <c r="C1011" s="27">
        <v>70</v>
      </c>
      <c r="D1011" s="26" t="s">
        <v>1776</v>
      </c>
      <c r="E1011" s="27">
        <v>1</v>
      </c>
      <c r="F1011" s="42"/>
    </row>
    <row r="1012" spans="2:6" ht="58" x14ac:dyDescent="0.35">
      <c r="B1012" s="25" t="s">
        <v>300</v>
      </c>
      <c r="C1012" s="27">
        <v>71</v>
      </c>
      <c r="D1012" s="26" t="s">
        <v>1777</v>
      </c>
      <c r="E1012" s="27">
        <v>1</v>
      </c>
      <c r="F1012" s="42"/>
    </row>
    <row r="1013" spans="2:6" ht="43.5" x14ac:dyDescent="0.35">
      <c r="B1013" s="25" t="s">
        <v>300</v>
      </c>
      <c r="C1013" s="27">
        <v>72</v>
      </c>
      <c r="D1013" s="26" t="s">
        <v>1778</v>
      </c>
      <c r="E1013" s="27">
        <v>1</v>
      </c>
      <c r="F1013" s="42"/>
    </row>
    <row r="1014" spans="2:6" ht="43.5" x14ac:dyDescent="0.35">
      <c r="B1014" s="25" t="s">
        <v>300</v>
      </c>
      <c r="C1014" s="27">
        <v>73</v>
      </c>
      <c r="D1014" s="26" t="s">
        <v>1779</v>
      </c>
      <c r="E1014" s="27">
        <v>1</v>
      </c>
      <c r="F1014" s="42"/>
    </row>
    <row r="1015" spans="2:6" ht="43.5" x14ac:dyDescent="0.35">
      <c r="B1015" s="25" t="s">
        <v>300</v>
      </c>
      <c r="C1015" s="27">
        <v>74</v>
      </c>
      <c r="D1015" s="26" t="s">
        <v>1780</v>
      </c>
      <c r="E1015" s="27">
        <v>1</v>
      </c>
      <c r="F1015" s="42"/>
    </row>
    <row r="1016" spans="2:6" ht="29" x14ac:dyDescent="0.35">
      <c r="B1016" s="25" t="s">
        <v>300</v>
      </c>
      <c r="C1016" s="27">
        <v>75</v>
      </c>
      <c r="D1016" s="26" t="s">
        <v>1781</v>
      </c>
      <c r="E1016" s="27">
        <v>1</v>
      </c>
      <c r="F1016" s="42"/>
    </row>
    <row r="1017" spans="2:6" ht="43.5" x14ac:dyDescent="0.35">
      <c r="B1017" s="25" t="s">
        <v>300</v>
      </c>
      <c r="C1017" s="27">
        <v>76</v>
      </c>
      <c r="D1017" s="26" t="s">
        <v>1782</v>
      </c>
      <c r="E1017" s="27">
        <v>1</v>
      </c>
      <c r="F1017" s="42"/>
    </row>
    <row r="1018" spans="2:6" ht="43.5" x14ac:dyDescent="0.35">
      <c r="B1018" s="25" t="s">
        <v>300</v>
      </c>
      <c r="C1018" s="27">
        <v>77</v>
      </c>
      <c r="D1018" s="26" t="s">
        <v>1783</v>
      </c>
      <c r="E1018" s="27">
        <v>1</v>
      </c>
      <c r="F1018" s="42"/>
    </row>
    <row r="1019" spans="2:6" ht="29" x14ac:dyDescent="0.35">
      <c r="B1019" s="25" t="s">
        <v>300</v>
      </c>
      <c r="C1019" s="27">
        <v>78</v>
      </c>
      <c r="D1019" s="26" t="s">
        <v>1784</v>
      </c>
      <c r="E1019" s="27">
        <v>1</v>
      </c>
      <c r="F1019" s="42"/>
    </row>
    <row r="1020" spans="2:6" ht="58" x14ac:dyDescent="0.35">
      <c r="B1020" s="25" t="s">
        <v>300</v>
      </c>
      <c r="C1020" s="27">
        <v>79</v>
      </c>
      <c r="D1020" s="26" t="s">
        <v>1785</v>
      </c>
      <c r="E1020" s="27">
        <v>1</v>
      </c>
      <c r="F1020" s="42"/>
    </row>
    <row r="1021" spans="2:6" ht="29" x14ac:dyDescent="0.35">
      <c r="B1021" s="25" t="s">
        <v>300</v>
      </c>
      <c r="C1021" s="27">
        <v>80</v>
      </c>
      <c r="D1021" s="26" t="s">
        <v>1786</v>
      </c>
      <c r="E1021" s="27">
        <v>1</v>
      </c>
      <c r="F1021" s="42"/>
    </row>
    <row r="1022" spans="2:6" ht="29" x14ac:dyDescent="0.35">
      <c r="B1022" s="25" t="s">
        <v>300</v>
      </c>
      <c r="C1022" s="27">
        <v>81</v>
      </c>
      <c r="D1022" s="26" t="s">
        <v>1787</v>
      </c>
      <c r="E1022" s="27">
        <v>1</v>
      </c>
      <c r="F1022" s="42"/>
    </row>
    <row r="1023" spans="2:6" x14ac:dyDescent="0.35">
      <c r="B1023" s="25" t="s">
        <v>300</v>
      </c>
      <c r="C1023" s="27">
        <v>82</v>
      </c>
      <c r="D1023" s="26" t="s">
        <v>1788</v>
      </c>
      <c r="E1023" s="27">
        <v>1</v>
      </c>
      <c r="F1023" s="42"/>
    </row>
    <row r="1024" spans="2:6" ht="29" x14ac:dyDescent="0.35">
      <c r="B1024" s="25" t="s">
        <v>300</v>
      </c>
      <c r="C1024" s="27">
        <v>83</v>
      </c>
      <c r="D1024" s="26" t="s">
        <v>1789</v>
      </c>
      <c r="E1024" s="27">
        <v>1</v>
      </c>
      <c r="F1024" s="42"/>
    </row>
    <row r="1025" spans="2:6" ht="29" x14ac:dyDescent="0.35">
      <c r="B1025" s="25" t="s">
        <v>300</v>
      </c>
      <c r="C1025" s="27">
        <v>84</v>
      </c>
      <c r="D1025" s="26" t="s">
        <v>1790</v>
      </c>
      <c r="E1025" s="27">
        <v>1</v>
      </c>
      <c r="F1025" s="42"/>
    </row>
    <row r="1026" spans="2:6" ht="29" x14ac:dyDescent="0.35">
      <c r="B1026" s="25" t="s">
        <v>300</v>
      </c>
      <c r="C1026" s="27">
        <v>85</v>
      </c>
      <c r="D1026" s="26" t="s">
        <v>1791</v>
      </c>
      <c r="E1026" s="27">
        <v>1</v>
      </c>
      <c r="F1026" s="42"/>
    </row>
    <row r="1027" spans="2:6" ht="43.5" x14ac:dyDescent="0.35">
      <c r="B1027" s="25" t="s">
        <v>300</v>
      </c>
      <c r="C1027" s="27">
        <v>86</v>
      </c>
      <c r="D1027" s="26" t="s">
        <v>1792</v>
      </c>
      <c r="E1027" s="27">
        <v>1</v>
      </c>
      <c r="F1027" s="42"/>
    </row>
    <row r="1028" spans="2:6" ht="29" x14ac:dyDescent="0.35">
      <c r="B1028" s="25" t="s">
        <v>300</v>
      </c>
      <c r="C1028" s="27">
        <v>87</v>
      </c>
      <c r="D1028" s="26" t="s">
        <v>1793</v>
      </c>
      <c r="E1028" s="27">
        <v>1</v>
      </c>
      <c r="F1028" s="42"/>
    </row>
    <row r="1029" spans="2:6" ht="43.5" x14ac:dyDescent="0.35">
      <c r="B1029" s="25" t="s">
        <v>300</v>
      </c>
      <c r="C1029" s="27">
        <v>88</v>
      </c>
      <c r="D1029" s="26" t="s">
        <v>1794</v>
      </c>
      <c r="E1029" s="27">
        <v>1</v>
      </c>
      <c r="F1029" s="42"/>
    </row>
    <row r="1030" spans="2:6" ht="43.5" x14ac:dyDescent="0.35">
      <c r="B1030" s="25" t="s">
        <v>300</v>
      </c>
      <c r="C1030" s="27">
        <v>89</v>
      </c>
      <c r="D1030" s="26" t="s">
        <v>1795</v>
      </c>
      <c r="E1030" s="27">
        <v>1</v>
      </c>
      <c r="F1030" s="42"/>
    </row>
    <row r="1031" spans="2:6" ht="58" x14ac:dyDescent="0.35">
      <c r="B1031" s="25" t="s">
        <v>300</v>
      </c>
      <c r="C1031" s="27">
        <v>90</v>
      </c>
      <c r="D1031" s="26" t="s">
        <v>1796</v>
      </c>
      <c r="E1031" s="27">
        <v>1</v>
      </c>
      <c r="F1031" s="42"/>
    </row>
    <row r="1032" spans="2:6" ht="29" x14ac:dyDescent="0.35">
      <c r="B1032" s="25" t="s">
        <v>300</v>
      </c>
      <c r="C1032" s="27">
        <v>91</v>
      </c>
      <c r="D1032" s="26" t="s">
        <v>1797</v>
      </c>
      <c r="E1032" s="27">
        <v>1</v>
      </c>
      <c r="F1032" s="42"/>
    </row>
    <row r="1033" spans="2:6" ht="58" x14ac:dyDescent="0.35">
      <c r="B1033" s="25" t="s">
        <v>300</v>
      </c>
      <c r="C1033" s="27">
        <v>92</v>
      </c>
      <c r="D1033" s="26" t="s">
        <v>1798</v>
      </c>
      <c r="E1033" s="27">
        <v>1</v>
      </c>
      <c r="F1033" s="42"/>
    </row>
    <row r="1034" spans="2:6" ht="43.5" x14ac:dyDescent="0.35">
      <c r="B1034" s="25" t="s">
        <v>300</v>
      </c>
      <c r="C1034" s="27">
        <v>93</v>
      </c>
      <c r="D1034" s="26" t="s">
        <v>1799</v>
      </c>
      <c r="E1034" s="27">
        <v>1</v>
      </c>
      <c r="F1034" s="42"/>
    </row>
    <row r="1035" spans="2:6" x14ac:dyDescent="0.35">
      <c r="B1035" s="25" t="s">
        <v>300</v>
      </c>
      <c r="C1035" s="27">
        <v>94</v>
      </c>
      <c r="D1035" s="26" t="s">
        <v>1800</v>
      </c>
      <c r="E1035" s="27">
        <v>1</v>
      </c>
      <c r="F1035" s="42"/>
    </row>
    <row r="1036" spans="2:6" ht="43.5" x14ac:dyDescent="0.35">
      <c r="B1036" s="25" t="s">
        <v>300</v>
      </c>
      <c r="C1036" s="27">
        <v>95</v>
      </c>
      <c r="D1036" s="26" t="s">
        <v>1801</v>
      </c>
      <c r="E1036" s="27">
        <v>1</v>
      </c>
      <c r="F1036" s="42"/>
    </row>
    <row r="1037" spans="2:6" x14ac:dyDescent="0.35">
      <c r="B1037" s="25" t="s">
        <v>300</v>
      </c>
      <c r="C1037" s="27">
        <v>96</v>
      </c>
      <c r="D1037" s="26" t="s">
        <v>1802</v>
      </c>
      <c r="E1037" s="27">
        <v>1</v>
      </c>
      <c r="F1037" s="42"/>
    </row>
    <row r="1038" spans="2:6" ht="29" x14ac:dyDescent="0.35">
      <c r="B1038" s="25" t="s">
        <v>300</v>
      </c>
      <c r="C1038" s="27">
        <v>97</v>
      </c>
      <c r="D1038" s="26" t="s">
        <v>1803</v>
      </c>
      <c r="E1038" s="27">
        <v>1</v>
      </c>
      <c r="F1038" s="42"/>
    </row>
    <row r="1039" spans="2:6" ht="29" x14ac:dyDescent="0.35">
      <c r="B1039" s="25" t="s">
        <v>300</v>
      </c>
      <c r="C1039" s="27">
        <v>98</v>
      </c>
      <c r="D1039" s="26" t="s">
        <v>1804</v>
      </c>
      <c r="E1039" s="27">
        <v>1</v>
      </c>
      <c r="F1039" s="42"/>
    </row>
    <row r="1040" spans="2:6" ht="58" x14ac:dyDescent="0.35">
      <c r="B1040" s="25" t="s">
        <v>300</v>
      </c>
      <c r="C1040" s="27">
        <v>99</v>
      </c>
      <c r="D1040" s="26" t="s">
        <v>1805</v>
      </c>
      <c r="E1040" s="27">
        <v>1</v>
      </c>
      <c r="F1040" s="42"/>
    </row>
    <row r="1041" spans="2:6" ht="29" x14ac:dyDescent="0.35">
      <c r="B1041" s="25" t="s">
        <v>300</v>
      </c>
      <c r="C1041" s="27">
        <v>100</v>
      </c>
      <c r="D1041" s="26" t="s">
        <v>1806</v>
      </c>
      <c r="E1041" s="27">
        <v>1</v>
      </c>
      <c r="F1041" s="42"/>
    </row>
    <row r="1042" spans="2:6" ht="29" x14ac:dyDescent="0.35">
      <c r="B1042" s="25" t="s">
        <v>300</v>
      </c>
      <c r="C1042" s="27">
        <v>101</v>
      </c>
      <c r="D1042" s="26" t="s">
        <v>1807</v>
      </c>
      <c r="E1042" s="27">
        <v>1</v>
      </c>
      <c r="F1042" s="42"/>
    </row>
    <row r="1043" spans="2:6" ht="29" x14ac:dyDescent="0.35">
      <c r="B1043" s="25" t="s">
        <v>300</v>
      </c>
      <c r="C1043" s="27">
        <v>102</v>
      </c>
      <c r="D1043" s="26" t="s">
        <v>1808</v>
      </c>
      <c r="E1043" s="27">
        <v>1</v>
      </c>
      <c r="F1043" s="42"/>
    </row>
    <row r="1044" spans="2:6" ht="29" x14ac:dyDescent="0.35">
      <c r="B1044" s="25" t="s">
        <v>300</v>
      </c>
      <c r="C1044" s="27">
        <v>103</v>
      </c>
      <c r="D1044" s="26" t="s">
        <v>1809</v>
      </c>
      <c r="E1044" s="27">
        <v>1</v>
      </c>
      <c r="F1044" s="42"/>
    </row>
    <row r="1045" spans="2:6" ht="29" x14ac:dyDescent="0.35">
      <c r="B1045" s="25" t="s">
        <v>300</v>
      </c>
      <c r="C1045" s="27">
        <v>104</v>
      </c>
      <c r="D1045" s="26" t="s">
        <v>1810</v>
      </c>
      <c r="E1045" s="27">
        <v>1</v>
      </c>
      <c r="F1045" s="42"/>
    </row>
    <row r="1046" spans="2:6" ht="43.5" x14ac:dyDescent="0.35">
      <c r="B1046" s="25" t="s">
        <v>300</v>
      </c>
      <c r="C1046" s="27">
        <v>105</v>
      </c>
      <c r="D1046" s="26" t="s">
        <v>1811</v>
      </c>
      <c r="E1046" s="27">
        <v>1</v>
      </c>
      <c r="F1046" s="42"/>
    </row>
    <row r="1047" spans="2:6" ht="29" x14ac:dyDescent="0.35">
      <c r="B1047" s="25" t="s">
        <v>300</v>
      </c>
      <c r="C1047" s="27">
        <v>106</v>
      </c>
      <c r="D1047" s="26" t="s">
        <v>1812</v>
      </c>
      <c r="E1047" s="27">
        <v>1</v>
      </c>
      <c r="F1047" s="42"/>
    </row>
    <row r="1048" spans="2:6" x14ac:dyDescent="0.35">
      <c r="B1048" s="25" t="s">
        <v>300</v>
      </c>
      <c r="C1048" s="27">
        <v>107</v>
      </c>
      <c r="D1048" s="26" t="s">
        <v>1813</v>
      </c>
      <c r="E1048" s="27">
        <v>1</v>
      </c>
      <c r="F1048" s="42"/>
    </row>
    <row r="1049" spans="2:6" x14ac:dyDescent="0.35">
      <c r="B1049" s="25" t="s">
        <v>300</v>
      </c>
      <c r="C1049" s="27">
        <v>108</v>
      </c>
      <c r="D1049" s="26" t="s">
        <v>1814</v>
      </c>
      <c r="E1049" s="27">
        <v>1</v>
      </c>
      <c r="F1049" s="42"/>
    </row>
    <row r="1050" spans="2:6" ht="29" x14ac:dyDescent="0.35">
      <c r="B1050" s="25" t="s">
        <v>300</v>
      </c>
      <c r="C1050" s="27">
        <v>109</v>
      </c>
      <c r="D1050" s="26" t="s">
        <v>1815</v>
      </c>
      <c r="E1050" s="27">
        <v>1</v>
      </c>
      <c r="F1050" s="42"/>
    </row>
    <row r="1051" spans="2:6" ht="29" x14ac:dyDescent="0.35">
      <c r="B1051" s="25" t="s">
        <v>300</v>
      </c>
      <c r="C1051" s="27">
        <v>110</v>
      </c>
      <c r="D1051" s="26" t="s">
        <v>1816</v>
      </c>
      <c r="E1051" s="27">
        <v>1</v>
      </c>
      <c r="F1051" s="42"/>
    </row>
    <row r="1052" spans="2:6" x14ac:dyDescent="0.35">
      <c r="B1052" s="25" t="s">
        <v>300</v>
      </c>
      <c r="C1052" s="27">
        <v>111</v>
      </c>
      <c r="D1052" s="26" t="s">
        <v>1817</v>
      </c>
      <c r="E1052" s="27">
        <v>1</v>
      </c>
      <c r="F1052" s="42"/>
    </row>
    <row r="1053" spans="2:6" ht="29" x14ac:dyDescent="0.35">
      <c r="B1053" s="25" t="s">
        <v>300</v>
      </c>
      <c r="C1053" s="27">
        <v>112</v>
      </c>
      <c r="D1053" s="26" t="s">
        <v>1818</v>
      </c>
      <c r="E1053" s="27">
        <v>1</v>
      </c>
      <c r="F1053" s="42"/>
    </row>
    <row r="1054" spans="2:6" ht="29" x14ac:dyDescent="0.35">
      <c r="B1054" s="25" t="s">
        <v>300</v>
      </c>
      <c r="C1054" s="27">
        <v>113</v>
      </c>
      <c r="D1054" s="26" t="s">
        <v>1819</v>
      </c>
      <c r="E1054" s="27">
        <v>1</v>
      </c>
      <c r="F1054" s="42"/>
    </row>
    <row r="1055" spans="2:6" ht="43.5" x14ac:dyDescent="0.35">
      <c r="B1055" s="25" t="s">
        <v>300</v>
      </c>
      <c r="C1055" s="27">
        <v>114</v>
      </c>
      <c r="D1055" s="26" t="s">
        <v>1820</v>
      </c>
      <c r="E1055" s="27">
        <v>1</v>
      </c>
      <c r="F1055" s="42"/>
    </row>
    <row r="1056" spans="2:6" ht="116" x14ac:dyDescent="0.35">
      <c r="B1056" s="25" t="s">
        <v>300</v>
      </c>
      <c r="C1056" s="27">
        <v>115</v>
      </c>
      <c r="D1056" s="26" t="s">
        <v>1821</v>
      </c>
      <c r="E1056" s="27">
        <v>1</v>
      </c>
      <c r="F1056" s="42"/>
    </row>
    <row r="1057" spans="2:6" ht="43.5" x14ac:dyDescent="0.35">
      <c r="B1057" s="25" t="s">
        <v>300</v>
      </c>
      <c r="C1057" s="27">
        <v>116</v>
      </c>
      <c r="D1057" s="26" t="s">
        <v>1822</v>
      </c>
      <c r="E1057" s="27">
        <v>1</v>
      </c>
      <c r="F1057" s="42"/>
    </row>
    <row r="1058" spans="2:6" x14ac:dyDescent="0.35">
      <c r="B1058" s="25" t="s">
        <v>300</v>
      </c>
      <c r="C1058" s="27">
        <v>117</v>
      </c>
      <c r="D1058" s="26" t="s">
        <v>1823</v>
      </c>
      <c r="E1058" s="27">
        <v>1</v>
      </c>
      <c r="F1058" s="42"/>
    </row>
    <row r="1059" spans="2:6" ht="58" x14ac:dyDescent="0.35">
      <c r="B1059" s="25" t="s">
        <v>300</v>
      </c>
      <c r="C1059" s="27">
        <v>118</v>
      </c>
      <c r="D1059" s="26" t="s">
        <v>1824</v>
      </c>
      <c r="E1059" s="27">
        <v>1</v>
      </c>
      <c r="F1059" s="42"/>
    </row>
    <row r="1060" spans="2:6" ht="29" x14ac:dyDescent="0.35">
      <c r="B1060" s="25" t="s">
        <v>300</v>
      </c>
      <c r="C1060" s="27">
        <v>119</v>
      </c>
      <c r="D1060" s="26" t="s">
        <v>1825</v>
      </c>
      <c r="E1060" s="27">
        <v>1</v>
      </c>
      <c r="F1060" s="42"/>
    </row>
    <row r="1061" spans="2:6" ht="43.5" x14ac:dyDescent="0.35">
      <c r="B1061" s="25" t="s">
        <v>300</v>
      </c>
      <c r="C1061" s="27">
        <v>120</v>
      </c>
      <c r="D1061" s="26" t="s">
        <v>1826</v>
      </c>
      <c r="E1061" s="27">
        <v>1</v>
      </c>
      <c r="F1061" s="42"/>
    </row>
    <row r="1062" spans="2:6" ht="29" x14ac:dyDescent="0.35">
      <c r="B1062" s="25" t="s">
        <v>300</v>
      </c>
      <c r="C1062" s="27">
        <v>121</v>
      </c>
      <c r="D1062" s="26" t="s">
        <v>1827</v>
      </c>
      <c r="E1062" s="27">
        <v>1</v>
      </c>
      <c r="F1062" s="42"/>
    </row>
    <row r="1063" spans="2:6" ht="43.5" x14ac:dyDescent="0.35">
      <c r="B1063" s="25" t="s">
        <v>300</v>
      </c>
      <c r="C1063" s="27">
        <v>122</v>
      </c>
      <c r="D1063" s="26" t="s">
        <v>1828</v>
      </c>
      <c r="E1063" s="27">
        <v>1</v>
      </c>
      <c r="F1063" s="42"/>
    </row>
    <row r="1064" spans="2:6" ht="29" x14ac:dyDescent="0.35">
      <c r="B1064" s="25" t="s">
        <v>300</v>
      </c>
      <c r="C1064" s="27">
        <v>123</v>
      </c>
      <c r="D1064" s="26" t="s">
        <v>1829</v>
      </c>
      <c r="E1064" s="27">
        <v>1</v>
      </c>
      <c r="F1064" s="42"/>
    </row>
    <row r="1065" spans="2:6" ht="29" x14ac:dyDescent="0.35">
      <c r="B1065" s="25" t="s">
        <v>300</v>
      </c>
      <c r="C1065" s="27">
        <v>124</v>
      </c>
      <c r="D1065" s="26" t="s">
        <v>1830</v>
      </c>
      <c r="E1065" s="27">
        <v>1</v>
      </c>
      <c r="F1065" s="42"/>
    </row>
    <row r="1066" spans="2:6" ht="43.5" x14ac:dyDescent="0.35">
      <c r="B1066" s="25" t="s">
        <v>300</v>
      </c>
      <c r="C1066" s="27">
        <v>125</v>
      </c>
      <c r="D1066" s="26" t="s">
        <v>1831</v>
      </c>
      <c r="E1066" s="27">
        <v>1</v>
      </c>
      <c r="F1066" s="42"/>
    </row>
    <row r="1067" spans="2:6" ht="58" x14ac:dyDescent="0.35">
      <c r="B1067" s="25" t="s">
        <v>300</v>
      </c>
      <c r="C1067" s="27">
        <v>126</v>
      </c>
      <c r="D1067" s="26" t="s">
        <v>1832</v>
      </c>
      <c r="E1067" s="27">
        <v>1</v>
      </c>
      <c r="F1067" s="42"/>
    </row>
    <row r="1068" spans="2:6" ht="43.5" x14ac:dyDescent="0.35">
      <c r="B1068" s="25" t="s">
        <v>300</v>
      </c>
      <c r="C1068" s="27">
        <v>127</v>
      </c>
      <c r="D1068" s="26" t="s">
        <v>1833</v>
      </c>
      <c r="E1068" s="27">
        <v>1</v>
      </c>
      <c r="F1068" s="42"/>
    </row>
    <row r="1069" spans="2:6" x14ac:dyDescent="0.35">
      <c r="B1069" s="25" t="s">
        <v>300</v>
      </c>
      <c r="C1069" s="27">
        <v>128</v>
      </c>
      <c r="D1069" s="26" t="s">
        <v>1834</v>
      </c>
      <c r="E1069" s="27">
        <v>1</v>
      </c>
      <c r="F1069" s="42"/>
    </row>
    <row r="1070" spans="2:6" ht="29" x14ac:dyDescent="0.35">
      <c r="B1070" s="25" t="s">
        <v>300</v>
      </c>
      <c r="C1070" s="27">
        <v>129</v>
      </c>
      <c r="D1070" s="26" t="s">
        <v>1835</v>
      </c>
      <c r="E1070" s="27">
        <v>1</v>
      </c>
      <c r="F1070" s="42"/>
    </row>
    <row r="1071" spans="2:6" ht="29" x14ac:dyDescent="0.35">
      <c r="B1071" s="25" t="s">
        <v>300</v>
      </c>
      <c r="C1071" s="27">
        <v>130</v>
      </c>
      <c r="D1071" s="26" t="s">
        <v>1836</v>
      </c>
      <c r="E1071" s="27">
        <v>1</v>
      </c>
      <c r="F1071" s="42"/>
    </row>
    <row r="1072" spans="2:6" ht="29" x14ac:dyDescent="0.35">
      <c r="B1072" s="25" t="s">
        <v>300</v>
      </c>
      <c r="C1072" s="27">
        <v>131</v>
      </c>
      <c r="D1072" s="26" t="s">
        <v>1837</v>
      </c>
      <c r="E1072" s="27">
        <v>1</v>
      </c>
      <c r="F1072" s="42"/>
    </row>
    <row r="1073" spans="2:6" ht="29" x14ac:dyDescent="0.35">
      <c r="B1073" s="25" t="s">
        <v>300</v>
      </c>
      <c r="C1073" s="27">
        <v>132</v>
      </c>
      <c r="D1073" s="26" t="s">
        <v>1838</v>
      </c>
      <c r="E1073" s="27">
        <v>1</v>
      </c>
      <c r="F1073" s="42"/>
    </row>
    <row r="1074" spans="2:6" ht="43.5" x14ac:dyDescent="0.35">
      <c r="B1074" s="25" t="s">
        <v>300</v>
      </c>
      <c r="C1074" s="27">
        <v>133</v>
      </c>
      <c r="D1074" s="26" t="s">
        <v>1839</v>
      </c>
      <c r="E1074" s="27">
        <v>1</v>
      </c>
      <c r="F1074" s="42"/>
    </row>
    <row r="1075" spans="2:6" x14ac:dyDescent="0.35">
      <c r="B1075" s="25" t="s">
        <v>300</v>
      </c>
      <c r="C1075" s="27">
        <v>134</v>
      </c>
      <c r="D1075" s="26" t="s">
        <v>1840</v>
      </c>
      <c r="E1075" s="27">
        <v>1</v>
      </c>
      <c r="F1075" s="42"/>
    </row>
    <row r="1076" spans="2:6" ht="29" x14ac:dyDescent="0.35">
      <c r="B1076" s="25" t="s">
        <v>300</v>
      </c>
      <c r="C1076" s="27">
        <v>135</v>
      </c>
      <c r="D1076" s="26" t="s">
        <v>1841</v>
      </c>
      <c r="E1076" s="27">
        <v>1</v>
      </c>
      <c r="F1076" s="42"/>
    </row>
    <row r="1077" spans="2:6" ht="43.5" x14ac:dyDescent="0.35">
      <c r="B1077" s="25" t="s">
        <v>300</v>
      </c>
      <c r="C1077" s="27">
        <v>136</v>
      </c>
      <c r="D1077" s="26" t="s">
        <v>1842</v>
      </c>
      <c r="E1077" s="27">
        <v>1</v>
      </c>
      <c r="F1077" s="42"/>
    </row>
    <row r="1078" spans="2:6" ht="29" x14ac:dyDescent="0.35">
      <c r="B1078" s="25" t="s">
        <v>300</v>
      </c>
      <c r="C1078" s="27">
        <v>137</v>
      </c>
      <c r="D1078" s="26" t="s">
        <v>1843</v>
      </c>
      <c r="E1078" s="27">
        <v>1</v>
      </c>
      <c r="F1078" s="42"/>
    </row>
    <row r="1079" spans="2:6" ht="29" x14ac:dyDescent="0.35">
      <c r="B1079" s="25" t="s">
        <v>300</v>
      </c>
      <c r="C1079" s="27">
        <v>138</v>
      </c>
      <c r="D1079" s="26" t="s">
        <v>1844</v>
      </c>
      <c r="E1079" s="27">
        <v>1</v>
      </c>
      <c r="F1079" s="42"/>
    </row>
    <row r="1080" spans="2:6" ht="29" x14ac:dyDescent="0.35">
      <c r="B1080" s="25" t="s">
        <v>300</v>
      </c>
      <c r="C1080" s="27">
        <v>139</v>
      </c>
      <c r="D1080" s="26" t="s">
        <v>1845</v>
      </c>
      <c r="E1080" s="27">
        <v>1</v>
      </c>
      <c r="F1080" s="42"/>
    </row>
    <row r="1081" spans="2:6" ht="29" x14ac:dyDescent="0.35">
      <c r="B1081" s="25" t="s">
        <v>300</v>
      </c>
      <c r="C1081" s="27">
        <v>140</v>
      </c>
      <c r="D1081" s="26" t="s">
        <v>1846</v>
      </c>
      <c r="E1081" s="27">
        <v>1</v>
      </c>
      <c r="F1081" s="42"/>
    </row>
    <row r="1082" spans="2:6" ht="29" x14ac:dyDescent="0.35">
      <c r="B1082" s="25" t="s">
        <v>300</v>
      </c>
      <c r="C1082" s="27">
        <v>141</v>
      </c>
      <c r="D1082" s="26" t="s">
        <v>1847</v>
      </c>
      <c r="E1082" s="27">
        <v>1</v>
      </c>
      <c r="F1082" s="42"/>
    </row>
    <row r="1083" spans="2:6" x14ac:dyDescent="0.35">
      <c r="B1083" s="25" t="s">
        <v>300</v>
      </c>
      <c r="C1083" s="27">
        <v>142</v>
      </c>
      <c r="D1083" s="26" t="s">
        <v>1848</v>
      </c>
      <c r="E1083" s="27">
        <v>1</v>
      </c>
      <c r="F1083" s="42"/>
    </row>
    <row r="1084" spans="2:6" x14ac:dyDescent="0.35">
      <c r="B1084" s="25" t="s">
        <v>300</v>
      </c>
      <c r="C1084" s="27">
        <v>143</v>
      </c>
      <c r="D1084" s="26" t="s">
        <v>1849</v>
      </c>
      <c r="E1084" s="27">
        <v>1</v>
      </c>
      <c r="F1084" s="42"/>
    </row>
    <row r="1085" spans="2:6" x14ac:dyDescent="0.35">
      <c r="B1085" s="25" t="s">
        <v>300</v>
      </c>
      <c r="C1085" s="27">
        <v>144</v>
      </c>
      <c r="D1085" s="26" t="s">
        <v>1850</v>
      </c>
      <c r="E1085" s="27">
        <v>1</v>
      </c>
      <c r="F1085" s="42"/>
    </row>
    <row r="1086" spans="2:6" ht="29" x14ac:dyDescent="0.35">
      <c r="B1086" s="25" t="s">
        <v>300</v>
      </c>
      <c r="C1086" s="27">
        <v>145</v>
      </c>
      <c r="D1086" s="26" t="s">
        <v>1851</v>
      </c>
      <c r="E1086" s="27">
        <v>1</v>
      </c>
      <c r="F1086" s="42"/>
    </row>
    <row r="1087" spans="2:6" ht="43.5" x14ac:dyDescent="0.35">
      <c r="B1087" s="25" t="s">
        <v>300</v>
      </c>
      <c r="C1087" s="27">
        <v>146</v>
      </c>
      <c r="D1087" s="26" t="s">
        <v>1852</v>
      </c>
      <c r="E1087" s="27">
        <v>1</v>
      </c>
      <c r="F1087" s="42"/>
    </row>
    <row r="1088" spans="2:6" ht="29" x14ac:dyDescent="0.35">
      <c r="B1088" s="25" t="s">
        <v>300</v>
      </c>
      <c r="C1088" s="27">
        <v>147</v>
      </c>
      <c r="D1088" s="26" t="s">
        <v>1853</v>
      </c>
      <c r="E1088" s="27">
        <v>1</v>
      </c>
      <c r="F1088" s="42"/>
    </row>
    <row r="1089" spans="2:6" ht="43.5" x14ac:dyDescent="0.35">
      <c r="B1089" s="25" t="s">
        <v>300</v>
      </c>
      <c r="C1089" s="27">
        <v>148</v>
      </c>
      <c r="D1089" s="26" t="s">
        <v>1854</v>
      </c>
      <c r="E1089" s="27">
        <v>1</v>
      </c>
      <c r="F1089" s="42"/>
    </row>
    <row r="1090" spans="2:6" ht="29" x14ac:dyDescent="0.35">
      <c r="B1090" s="25" t="s">
        <v>300</v>
      </c>
      <c r="C1090" s="27">
        <v>149</v>
      </c>
      <c r="D1090" s="26" t="s">
        <v>1855</v>
      </c>
      <c r="E1090" s="27">
        <v>1</v>
      </c>
      <c r="F1090" s="42"/>
    </row>
    <row r="1091" spans="2:6" x14ac:dyDescent="0.35">
      <c r="B1091" s="25" t="s">
        <v>300</v>
      </c>
      <c r="C1091" s="27">
        <v>150</v>
      </c>
      <c r="D1091" s="26" t="s">
        <v>1856</v>
      </c>
      <c r="E1091" s="27">
        <v>1</v>
      </c>
      <c r="F1091" s="42"/>
    </row>
    <row r="1092" spans="2:6" ht="29" x14ac:dyDescent="0.35">
      <c r="B1092" s="25" t="s">
        <v>300</v>
      </c>
      <c r="C1092" s="27">
        <v>151</v>
      </c>
      <c r="D1092" s="26" t="s">
        <v>1857</v>
      </c>
      <c r="E1092" s="27">
        <v>1</v>
      </c>
      <c r="F1092" s="42"/>
    </row>
    <row r="1093" spans="2:6" ht="29" x14ac:dyDescent="0.35">
      <c r="B1093" s="25" t="s">
        <v>300</v>
      </c>
      <c r="C1093" s="27">
        <v>152</v>
      </c>
      <c r="D1093" s="26" t="s">
        <v>1858</v>
      </c>
      <c r="E1093" s="27">
        <v>1</v>
      </c>
      <c r="F1093" s="42"/>
    </row>
    <row r="1094" spans="2:6" ht="29" x14ac:dyDescent="0.35">
      <c r="B1094" s="25" t="s">
        <v>300</v>
      </c>
      <c r="C1094" s="27">
        <v>153</v>
      </c>
      <c r="D1094" s="26" t="s">
        <v>1859</v>
      </c>
      <c r="E1094" s="27">
        <v>1</v>
      </c>
      <c r="F1094" s="42"/>
    </row>
    <row r="1095" spans="2:6" ht="29" x14ac:dyDescent="0.35">
      <c r="B1095" s="25" t="s">
        <v>300</v>
      </c>
      <c r="C1095" s="27">
        <v>154</v>
      </c>
      <c r="D1095" s="26" t="s">
        <v>1860</v>
      </c>
      <c r="E1095" s="27">
        <v>1</v>
      </c>
      <c r="F1095" s="42"/>
    </row>
    <row r="1096" spans="2:6" ht="29" x14ac:dyDescent="0.35">
      <c r="B1096" s="25" t="s">
        <v>300</v>
      </c>
      <c r="C1096" s="27">
        <v>155</v>
      </c>
      <c r="D1096" s="26" t="s">
        <v>1861</v>
      </c>
      <c r="E1096" s="27">
        <v>1</v>
      </c>
      <c r="F1096" s="42"/>
    </row>
    <row r="1097" spans="2:6" ht="43.5" x14ac:dyDescent="0.35">
      <c r="B1097" s="25" t="s">
        <v>300</v>
      </c>
      <c r="C1097" s="27">
        <v>156</v>
      </c>
      <c r="D1097" s="26" t="s">
        <v>1862</v>
      </c>
      <c r="E1097" s="27">
        <v>1</v>
      </c>
      <c r="F1097" s="42"/>
    </row>
    <row r="1098" spans="2:6" ht="29" x14ac:dyDescent="0.35">
      <c r="B1098" s="25" t="s">
        <v>300</v>
      </c>
      <c r="C1098" s="27">
        <v>157</v>
      </c>
      <c r="D1098" s="26" t="s">
        <v>1863</v>
      </c>
      <c r="E1098" s="27">
        <v>1</v>
      </c>
      <c r="F1098" s="42"/>
    </row>
    <row r="1099" spans="2:6" ht="43.5" x14ac:dyDescent="0.35">
      <c r="B1099" s="25" t="s">
        <v>300</v>
      </c>
      <c r="C1099" s="27">
        <v>158</v>
      </c>
      <c r="D1099" s="26" t="s">
        <v>1864</v>
      </c>
      <c r="E1099" s="27">
        <v>1</v>
      </c>
      <c r="F1099" s="42"/>
    </row>
    <row r="1100" spans="2:6" ht="43.5" x14ac:dyDescent="0.35">
      <c r="B1100" s="25" t="s">
        <v>300</v>
      </c>
      <c r="C1100" s="27">
        <v>159</v>
      </c>
      <c r="D1100" s="26" t="s">
        <v>1865</v>
      </c>
      <c r="E1100" s="27">
        <v>1</v>
      </c>
      <c r="F1100" s="42"/>
    </row>
    <row r="1101" spans="2:6" ht="43.5" x14ac:dyDescent="0.35">
      <c r="B1101" s="25" t="s">
        <v>300</v>
      </c>
      <c r="C1101" s="27">
        <v>160</v>
      </c>
      <c r="D1101" s="26" t="s">
        <v>1866</v>
      </c>
      <c r="E1101" s="27">
        <v>1</v>
      </c>
      <c r="F1101" s="42"/>
    </row>
    <row r="1102" spans="2:6" ht="29" x14ac:dyDescent="0.35">
      <c r="B1102" s="25" t="s">
        <v>300</v>
      </c>
      <c r="C1102" s="27">
        <v>161</v>
      </c>
      <c r="D1102" s="26" t="s">
        <v>1867</v>
      </c>
      <c r="E1102" s="27">
        <v>1</v>
      </c>
      <c r="F1102" s="42"/>
    </row>
    <row r="1103" spans="2:6" ht="29" x14ac:dyDescent="0.35">
      <c r="B1103" s="25" t="s">
        <v>300</v>
      </c>
      <c r="C1103" s="27">
        <v>162</v>
      </c>
      <c r="D1103" s="26" t="s">
        <v>1868</v>
      </c>
      <c r="E1103" s="27">
        <v>1</v>
      </c>
      <c r="F1103" s="42"/>
    </row>
    <row r="1104" spans="2:6" ht="43.5" x14ac:dyDescent="0.35">
      <c r="B1104" s="25" t="s">
        <v>300</v>
      </c>
      <c r="C1104" s="27">
        <v>163</v>
      </c>
      <c r="D1104" s="26" t="s">
        <v>1869</v>
      </c>
      <c r="E1104" s="27">
        <v>1</v>
      </c>
      <c r="F1104" s="42"/>
    </row>
    <row r="1105" spans="2:6" ht="29" x14ac:dyDescent="0.35">
      <c r="B1105" s="25" t="s">
        <v>300</v>
      </c>
      <c r="C1105" s="27">
        <v>164</v>
      </c>
      <c r="D1105" s="26" t="s">
        <v>1870</v>
      </c>
      <c r="E1105" s="27">
        <v>1</v>
      </c>
      <c r="F1105" s="42"/>
    </row>
    <row r="1106" spans="2:6" ht="43.5" x14ac:dyDescent="0.35">
      <c r="B1106" s="25" t="s">
        <v>300</v>
      </c>
      <c r="C1106" s="27">
        <v>165</v>
      </c>
      <c r="D1106" s="26" t="s">
        <v>1871</v>
      </c>
      <c r="E1106" s="27">
        <v>1</v>
      </c>
      <c r="F1106" s="42"/>
    </row>
    <row r="1107" spans="2:6" ht="43.5" x14ac:dyDescent="0.35">
      <c r="B1107" s="25" t="s">
        <v>300</v>
      </c>
      <c r="C1107" s="27">
        <v>166</v>
      </c>
      <c r="D1107" s="26" t="s">
        <v>1872</v>
      </c>
      <c r="E1107" s="27">
        <v>1</v>
      </c>
      <c r="F1107" s="42"/>
    </row>
    <row r="1108" spans="2:6" ht="72.5" x14ac:dyDescent="0.35">
      <c r="B1108" s="25" t="s">
        <v>300</v>
      </c>
      <c r="C1108" s="27">
        <v>167</v>
      </c>
      <c r="D1108" s="26" t="s">
        <v>1873</v>
      </c>
      <c r="E1108" s="27">
        <v>1</v>
      </c>
      <c r="F1108" s="42"/>
    </row>
    <row r="1109" spans="2:6" ht="58" x14ac:dyDescent="0.35">
      <c r="B1109" s="25" t="s">
        <v>300</v>
      </c>
      <c r="C1109" s="27">
        <v>168</v>
      </c>
      <c r="D1109" s="26" t="s">
        <v>1874</v>
      </c>
      <c r="E1109" s="27">
        <v>1</v>
      </c>
      <c r="F1109" s="42"/>
    </row>
    <row r="1110" spans="2:6" ht="29" x14ac:dyDescent="0.35">
      <c r="B1110" s="25" t="s">
        <v>300</v>
      </c>
      <c r="C1110" s="27">
        <v>169</v>
      </c>
      <c r="D1110" s="26" t="s">
        <v>1875</v>
      </c>
      <c r="E1110" s="27">
        <v>1</v>
      </c>
      <c r="F1110" s="42"/>
    </row>
    <row r="1111" spans="2:6" ht="87" x14ac:dyDescent="0.35">
      <c r="B1111" s="25" t="s">
        <v>300</v>
      </c>
      <c r="C1111" s="27">
        <v>170</v>
      </c>
      <c r="D1111" s="26" t="s">
        <v>1876</v>
      </c>
      <c r="E1111" s="27">
        <v>1</v>
      </c>
      <c r="F1111" s="42"/>
    </row>
    <row r="1112" spans="2:6" ht="29" x14ac:dyDescent="0.35">
      <c r="B1112" s="25" t="s">
        <v>300</v>
      </c>
      <c r="C1112" s="27">
        <v>171</v>
      </c>
      <c r="D1112" s="26" t="s">
        <v>1877</v>
      </c>
      <c r="E1112" s="27">
        <v>1</v>
      </c>
      <c r="F1112" s="42"/>
    </row>
    <row r="1113" spans="2:6" ht="29" x14ac:dyDescent="0.35">
      <c r="B1113" s="25" t="s">
        <v>300</v>
      </c>
      <c r="C1113" s="27">
        <v>172</v>
      </c>
      <c r="D1113" s="26" t="s">
        <v>1878</v>
      </c>
      <c r="E1113" s="27">
        <v>1</v>
      </c>
      <c r="F1113" s="42"/>
    </row>
    <row r="1114" spans="2:6" ht="43.5" x14ac:dyDescent="0.35">
      <c r="B1114" s="25" t="s">
        <v>300</v>
      </c>
      <c r="C1114" s="27">
        <v>173</v>
      </c>
      <c r="D1114" s="26" t="s">
        <v>1879</v>
      </c>
      <c r="E1114" s="27">
        <v>1</v>
      </c>
      <c r="F1114" s="42"/>
    </row>
    <row r="1115" spans="2:6" ht="43.5" x14ac:dyDescent="0.35">
      <c r="B1115" s="25" t="s">
        <v>300</v>
      </c>
      <c r="C1115" s="27">
        <v>174</v>
      </c>
      <c r="D1115" s="26" t="s">
        <v>1880</v>
      </c>
      <c r="E1115" s="27">
        <v>1</v>
      </c>
      <c r="F1115" s="42"/>
    </row>
    <row r="1116" spans="2:6" ht="72.5" x14ac:dyDescent="0.35">
      <c r="B1116" s="25" t="s">
        <v>300</v>
      </c>
      <c r="C1116" s="27">
        <v>175</v>
      </c>
      <c r="D1116" s="26" t="s">
        <v>1881</v>
      </c>
      <c r="E1116" s="27">
        <v>1</v>
      </c>
      <c r="F1116" s="42"/>
    </row>
    <row r="1117" spans="2:6" ht="29" x14ac:dyDescent="0.35">
      <c r="B1117" s="25" t="s">
        <v>300</v>
      </c>
      <c r="C1117" s="27">
        <v>176</v>
      </c>
      <c r="D1117" s="26" t="s">
        <v>1882</v>
      </c>
      <c r="E1117" s="27">
        <v>1</v>
      </c>
      <c r="F1117" s="42"/>
    </row>
    <row r="1118" spans="2:6" ht="58" x14ac:dyDescent="0.35">
      <c r="B1118" s="25" t="s">
        <v>300</v>
      </c>
      <c r="C1118" s="27">
        <v>177</v>
      </c>
      <c r="D1118" s="26" t="s">
        <v>1883</v>
      </c>
      <c r="E1118" s="27">
        <v>1</v>
      </c>
      <c r="F1118" s="42"/>
    </row>
    <row r="1119" spans="2:6" ht="58" x14ac:dyDescent="0.35">
      <c r="B1119" s="25" t="s">
        <v>300</v>
      </c>
      <c r="C1119" s="27">
        <v>178</v>
      </c>
      <c r="D1119" s="26" t="s">
        <v>1884</v>
      </c>
      <c r="E1119" s="27">
        <v>1</v>
      </c>
      <c r="F1119" s="42"/>
    </row>
    <row r="1120" spans="2:6" ht="43.5" x14ac:dyDescent="0.35">
      <c r="B1120" s="25" t="s">
        <v>300</v>
      </c>
      <c r="C1120" s="27">
        <v>179</v>
      </c>
      <c r="D1120" s="26" t="s">
        <v>1885</v>
      </c>
      <c r="E1120" s="27">
        <v>1</v>
      </c>
      <c r="F1120" s="42"/>
    </row>
    <row r="1121" spans="2:6" ht="29" x14ac:dyDescent="0.35">
      <c r="B1121" s="25" t="s">
        <v>300</v>
      </c>
      <c r="C1121" s="27">
        <v>180</v>
      </c>
      <c r="D1121" s="26" t="s">
        <v>1886</v>
      </c>
      <c r="E1121" s="27">
        <v>1</v>
      </c>
      <c r="F1121" s="42"/>
    </row>
    <row r="1122" spans="2:6" x14ac:dyDescent="0.35">
      <c r="B1122" s="25" t="s">
        <v>300</v>
      </c>
      <c r="C1122" s="27">
        <v>181</v>
      </c>
      <c r="D1122" s="26" t="s">
        <v>1887</v>
      </c>
      <c r="E1122" s="27">
        <v>1</v>
      </c>
      <c r="F1122" s="42"/>
    </row>
    <row r="1123" spans="2:6" ht="29" x14ac:dyDescent="0.35">
      <c r="B1123" s="25" t="s">
        <v>300</v>
      </c>
      <c r="C1123" s="27">
        <v>182</v>
      </c>
      <c r="D1123" s="26" t="s">
        <v>1888</v>
      </c>
      <c r="E1123" s="27">
        <v>1</v>
      </c>
      <c r="F1123" s="42"/>
    </row>
    <row r="1124" spans="2:6" x14ac:dyDescent="0.35">
      <c r="B1124" s="25" t="s">
        <v>300</v>
      </c>
      <c r="C1124" s="27">
        <v>183</v>
      </c>
      <c r="D1124" s="26" t="s">
        <v>1889</v>
      </c>
      <c r="E1124" s="27">
        <v>1</v>
      </c>
      <c r="F1124" s="42"/>
    </row>
    <row r="1125" spans="2:6" ht="29" x14ac:dyDescent="0.35">
      <c r="B1125" s="25" t="s">
        <v>300</v>
      </c>
      <c r="C1125" s="27">
        <v>184</v>
      </c>
      <c r="D1125" s="26" t="s">
        <v>1890</v>
      </c>
      <c r="E1125" s="27">
        <v>1</v>
      </c>
      <c r="F1125" s="42"/>
    </row>
    <row r="1126" spans="2:6" ht="29" x14ac:dyDescent="0.35">
      <c r="B1126" s="25" t="s">
        <v>300</v>
      </c>
      <c r="C1126" s="27">
        <v>185</v>
      </c>
      <c r="D1126" s="26" t="s">
        <v>1891</v>
      </c>
      <c r="E1126" s="27">
        <v>1</v>
      </c>
      <c r="F1126" s="42"/>
    </row>
    <row r="1127" spans="2:6" x14ac:dyDescent="0.35">
      <c r="B1127" s="25" t="s">
        <v>300</v>
      </c>
      <c r="C1127" s="27">
        <v>186</v>
      </c>
      <c r="D1127" s="26" t="s">
        <v>1892</v>
      </c>
      <c r="E1127" s="27">
        <v>1</v>
      </c>
      <c r="F1127" s="42"/>
    </row>
    <row r="1128" spans="2:6" x14ac:dyDescent="0.35">
      <c r="B1128" s="25" t="s">
        <v>300</v>
      </c>
      <c r="C1128" s="27">
        <v>187</v>
      </c>
      <c r="D1128" s="26" t="s">
        <v>1893</v>
      </c>
      <c r="E1128" s="27">
        <v>1</v>
      </c>
      <c r="F1128" s="42"/>
    </row>
    <row r="1129" spans="2:6" x14ac:dyDescent="0.35">
      <c r="B1129" s="25" t="s">
        <v>300</v>
      </c>
      <c r="C1129" s="27">
        <v>188</v>
      </c>
      <c r="D1129" s="26" t="s">
        <v>1894</v>
      </c>
      <c r="E1129" s="27">
        <v>1</v>
      </c>
      <c r="F1129" s="42"/>
    </row>
    <row r="1130" spans="2:6" ht="29" x14ac:dyDescent="0.35">
      <c r="B1130" s="25" t="s">
        <v>300</v>
      </c>
      <c r="C1130" s="27">
        <v>189</v>
      </c>
      <c r="D1130" s="26" t="s">
        <v>1895</v>
      </c>
      <c r="E1130" s="27">
        <v>1</v>
      </c>
      <c r="F1130" s="42"/>
    </row>
    <row r="1131" spans="2:6" ht="58" x14ac:dyDescent="0.35">
      <c r="B1131" s="25" t="s">
        <v>300</v>
      </c>
      <c r="C1131" s="27">
        <v>190</v>
      </c>
      <c r="D1131" s="26" t="s">
        <v>1896</v>
      </c>
      <c r="E1131" s="27">
        <v>1</v>
      </c>
      <c r="F1131" s="42"/>
    </row>
    <row r="1132" spans="2:6" ht="29" x14ac:dyDescent="0.35">
      <c r="B1132" s="25" t="s">
        <v>300</v>
      </c>
      <c r="C1132" s="27">
        <v>191</v>
      </c>
      <c r="D1132" s="26" t="s">
        <v>1897</v>
      </c>
      <c r="E1132" s="27">
        <v>1</v>
      </c>
      <c r="F1132" s="42"/>
    </row>
    <row r="1133" spans="2:6" ht="29" x14ac:dyDescent="0.35">
      <c r="B1133" s="25" t="s">
        <v>300</v>
      </c>
      <c r="C1133" s="27">
        <v>192</v>
      </c>
      <c r="D1133" s="26" t="s">
        <v>1898</v>
      </c>
      <c r="E1133" s="27">
        <v>1</v>
      </c>
      <c r="F1133" s="42"/>
    </row>
    <row r="1134" spans="2:6" x14ac:dyDescent="0.35">
      <c r="B1134" s="25" t="s">
        <v>300</v>
      </c>
      <c r="C1134" s="27">
        <v>193</v>
      </c>
      <c r="D1134" s="26" t="s">
        <v>1899</v>
      </c>
      <c r="E1134" s="27">
        <v>1</v>
      </c>
      <c r="F1134" s="42"/>
    </row>
    <row r="1135" spans="2:6" ht="58" x14ac:dyDescent="0.35">
      <c r="B1135" s="25" t="s">
        <v>300</v>
      </c>
      <c r="C1135" s="27">
        <v>194</v>
      </c>
      <c r="D1135" s="26" t="s">
        <v>1900</v>
      </c>
      <c r="E1135" s="27">
        <v>1</v>
      </c>
      <c r="F1135" s="42"/>
    </row>
    <row r="1136" spans="2:6" ht="72.5" x14ac:dyDescent="0.35">
      <c r="B1136" s="25" t="s">
        <v>300</v>
      </c>
      <c r="C1136" s="27">
        <v>195</v>
      </c>
      <c r="D1136" s="26" t="s">
        <v>1901</v>
      </c>
      <c r="E1136" s="27">
        <v>1</v>
      </c>
      <c r="F1136" s="42"/>
    </row>
    <row r="1137" spans="2:6" ht="29" x14ac:dyDescent="0.35">
      <c r="B1137" s="25" t="s">
        <v>300</v>
      </c>
      <c r="C1137" s="27">
        <v>196</v>
      </c>
      <c r="D1137" s="26" t="s">
        <v>1902</v>
      </c>
      <c r="E1137" s="27">
        <v>1</v>
      </c>
      <c r="F1137" s="42"/>
    </row>
    <row r="1138" spans="2:6" ht="43.5" x14ac:dyDescent="0.35">
      <c r="B1138" s="25" t="s">
        <v>300</v>
      </c>
      <c r="C1138" s="27">
        <v>197</v>
      </c>
      <c r="D1138" s="26" t="s">
        <v>1903</v>
      </c>
      <c r="E1138" s="27">
        <v>1</v>
      </c>
      <c r="F1138" s="42"/>
    </row>
    <row r="1139" spans="2:6" ht="43.5" x14ac:dyDescent="0.35">
      <c r="B1139" s="25" t="s">
        <v>300</v>
      </c>
      <c r="C1139" s="27">
        <v>198</v>
      </c>
      <c r="D1139" s="26" t="s">
        <v>1904</v>
      </c>
      <c r="E1139" s="27">
        <v>1</v>
      </c>
      <c r="F1139" s="42"/>
    </row>
    <row r="1140" spans="2:6" ht="29" x14ac:dyDescent="0.35">
      <c r="B1140" s="25" t="s">
        <v>300</v>
      </c>
      <c r="C1140" s="27">
        <v>199</v>
      </c>
      <c r="D1140" s="26" t="s">
        <v>1905</v>
      </c>
      <c r="E1140" s="27">
        <v>1</v>
      </c>
      <c r="F1140" s="42"/>
    </row>
    <row r="1141" spans="2:6" ht="58" x14ac:dyDescent="0.35">
      <c r="B1141" s="25" t="s">
        <v>300</v>
      </c>
      <c r="C1141" s="27">
        <v>200</v>
      </c>
      <c r="D1141" s="26" t="s">
        <v>1906</v>
      </c>
      <c r="E1141" s="27">
        <v>1</v>
      </c>
      <c r="F1141" s="42"/>
    </row>
    <row r="1142" spans="2:6" ht="101.5" x14ac:dyDescent="0.35">
      <c r="B1142" s="25" t="s">
        <v>300</v>
      </c>
      <c r="C1142" s="27">
        <v>201</v>
      </c>
      <c r="D1142" s="26" t="s">
        <v>1907</v>
      </c>
      <c r="E1142" s="27">
        <v>1</v>
      </c>
      <c r="F1142" s="42"/>
    </row>
    <row r="1143" spans="2:6" ht="29" x14ac:dyDescent="0.35">
      <c r="B1143" s="25" t="s">
        <v>300</v>
      </c>
      <c r="C1143" s="27">
        <v>202</v>
      </c>
      <c r="D1143" s="26" t="s">
        <v>1908</v>
      </c>
      <c r="E1143" s="27">
        <v>1</v>
      </c>
      <c r="F1143" s="42"/>
    </row>
    <row r="1144" spans="2:6" ht="43.5" x14ac:dyDescent="0.35">
      <c r="B1144" s="25" t="s">
        <v>300</v>
      </c>
      <c r="C1144" s="27">
        <v>203</v>
      </c>
      <c r="D1144" s="26" t="s">
        <v>1909</v>
      </c>
      <c r="E1144" s="27">
        <v>1</v>
      </c>
      <c r="F1144" s="42"/>
    </row>
    <row r="1145" spans="2:6" ht="43.5" x14ac:dyDescent="0.35">
      <c r="B1145" s="25" t="s">
        <v>300</v>
      </c>
      <c r="C1145" s="27">
        <v>204</v>
      </c>
      <c r="D1145" s="26" t="s">
        <v>1910</v>
      </c>
      <c r="E1145" s="27">
        <v>1</v>
      </c>
      <c r="F1145" s="42"/>
    </row>
    <row r="1146" spans="2:6" ht="29" x14ac:dyDescent="0.35">
      <c r="B1146" s="25" t="s">
        <v>300</v>
      </c>
      <c r="C1146" s="27">
        <v>205</v>
      </c>
      <c r="D1146" s="26" t="s">
        <v>1911</v>
      </c>
      <c r="E1146" s="27">
        <v>1</v>
      </c>
      <c r="F1146" s="42"/>
    </row>
    <row r="1147" spans="2:6" x14ac:dyDescent="0.35">
      <c r="B1147" s="25" t="s">
        <v>306</v>
      </c>
      <c r="C1147" s="27">
        <v>0</v>
      </c>
      <c r="D1147" s="26" t="s">
        <v>1662</v>
      </c>
      <c r="E1147" s="27">
        <v>1</v>
      </c>
      <c r="F1147" s="42"/>
    </row>
    <row r="1148" spans="2:6" x14ac:dyDescent="0.35">
      <c r="B1148" s="25" t="s">
        <v>306</v>
      </c>
      <c r="C1148" s="27">
        <v>1</v>
      </c>
      <c r="D1148" s="26" t="s">
        <v>1912</v>
      </c>
      <c r="E1148" s="27">
        <v>1</v>
      </c>
      <c r="F1148" s="42"/>
    </row>
    <row r="1149" spans="2:6" x14ac:dyDescent="0.35">
      <c r="B1149" s="25" t="s">
        <v>306</v>
      </c>
      <c r="C1149" s="27">
        <v>2</v>
      </c>
      <c r="D1149" s="26" t="s">
        <v>1913</v>
      </c>
      <c r="E1149" s="27">
        <v>1</v>
      </c>
      <c r="F1149" s="42"/>
    </row>
    <row r="1150" spans="2:6" x14ac:dyDescent="0.35">
      <c r="B1150" s="25" t="s">
        <v>306</v>
      </c>
      <c r="C1150" s="27">
        <v>3</v>
      </c>
      <c r="D1150" s="26" t="s">
        <v>1914</v>
      </c>
      <c r="E1150" s="27">
        <v>1</v>
      </c>
      <c r="F1150" s="42"/>
    </row>
    <row r="1151" spans="2:6" x14ac:dyDescent="0.35">
      <c r="B1151" s="25" t="s">
        <v>373</v>
      </c>
      <c r="C1151" s="27">
        <v>0</v>
      </c>
      <c r="D1151" s="26" t="s">
        <v>1915</v>
      </c>
      <c r="E1151" s="27">
        <v>1</v>
      </c>
      <c r="F1151" s="42"/>
    </row>
    <row r="1152" spans="2:6" x14ac:dyDescent="0.35">
      <c r="B1152" s="25" t="s">
        <v>373</v>
      </c>
      <c r="C1152" s="27">
        <v>1</v>
      </c>
      <c r="D1152" s="26" t="s">
        <v>1916</v>
      </c>
      <c r="E1152" s="27">
        <v>1</v>
      </c>
      <c r="F1152" s="42"/>
    </row>
    <row r="1153" spans="2:6" x14ac:dyDescent="0.35">
      <c r="B1153" s="25" t="s">
        <v>373</v>
      </c>
      <c r="C1153" s="27">
        <v>2</v>
      </c>
      <c r="D1153" s="26" t="s">
        <v>1917</v>
      </c>
      <c r="E1153" s="27">
        <v>1</v>
      </c>
      <c r="F1153" s="42"/>
    </row>
    <row r="1154" spans="2:6" ht="43.5" x14ac:dyDescent="0.35">
      <c r="B1154" s="25" t="s">
        <v>373</v>
      </c>
      <c r="C1154" s="27">
        <v>3</v>
      </c>
      <c r="D1154" s="26" t="s">
        <v>1918</v>
      </c>
      <c r="E1154" s="27">
        <v>1</v>
      </c>
      <c r="F1154" s="42"/>
    </row>
    <row r="1155" spans="2:6" x14ac:dyDescent="0.35">
      <c r="B1155" s="25" t="s">
        <v>373</v>
      </c>
      <c r="C1155" s="27">
        <v>4</v>
      </c>
      <c r="D1155" s="26" t="s">
        <v>1919</v>
      </c>
      <c r="E1155" s="27">
        <v>1</v>
      </c>
      <c r="F1155" s="42"/>
    </row>
    <row r="1156" spans="2:6" x14ac:dyDescent="0.35">
      <c r="B1156" s="25" t="s">
        <v>373</v>
      </c>
      <c r="C1156" s="27">
        <v>5</v>
      </c>
      <c r="D1156" s="26" t="s">
        <v>1920</v>
      </c>
      <c r="E1156" s="27">
        <v>1</v>
      </c>
      <c r="F1156" s="42"/>
    </row>
    <row r="1157" spans="2:6" x14ac:dyDescent="0.35">
      <c r="B1157" s="25" t="s">
        <v>373</v>
      </c>
      <c r="C1157" s="27">
        <v>6</v>
      </c>
      <c r="D1157" s="26" t="s">
        <v>1921</v>
      </c>
      <c r="E1157" s="27">
        <v>1</v>
      </c>
      <c r="F1157" s="42"/>
    </row>
    <row r="1158" spans="2:6" x14ac:dyDescent="0.35">
      <c r="B1158" s="25" t="s">
        <v>373</v>
      </c>
      <c r="C1158" s="27">
        <v>7</v>
      </c>
      <c r="D1158" s="26" t="s">
        <v>1922</v>
      </c>
      <c r="E1158" s="27">
        <v>1</v>
      </c>
      <c r="F1158" s="42"/>
    </row>
    <row r="1159" spans="2:6" x14ac:dyDescent="0.35">
      <c r="B1159" s="25" t="s">
        <v>373</v>
      </c>
      <c r="C1159" s="27">
        <v>8</v>
      </c>
      <c r="D1159" s="26" t="s">
        <v>1923</v>
      </c>
      <c r="E1159" s="27">
        <v>1</v>
      </c>
      <c r="F1159" s="42"/>
    </row>
    <row r="1160" spans="2:6" ht="29" x14ac:dyDescent="0.35">
      <c r="B1160" s="25" t="s">
        <v>373</v>
      </c>
      <c r="C1160" s="27">
        <v>9</v>
      </c>
      <c r="D1160" s="26" t="s">
        <v>1924</v>
      </c>
      <c r="E1160" s="27">
        <v>1</v>
      </c>
      <c r="F1160" s="42"/>
    </row>
    <row r="1161" spans="2:6" x14ac:dyDescent="0.35">
      <c r="B1161" s="25" t="s">
        <v>373</v>
      </c>
      <c r="C1161" s="27">
        <v>10</v>
      </c>
      <c r="D1161" s="26" t="s">
        <v>1925</v>
      </c>
      <c r="E1161" s="27">
        <v>1</v>
      </c>
      <c r="F1161" s="42"/>
    </row>
    <row r="1162" spans="2:6" x14ac:dyDescent="0.35">
      <c r="B1162" s="25" t="s">
        <v>373</v>
      </c>
      <c r="C1162" s="27">
        <v>11</v>
      </c>
      <c r="D1162" s="26" t="s">
        <v>1926</v>
      </c>
      <c r="E1162" s="27">
        <v>1</v>
      </c>
      <c r="F1162" s="42"/>
    </row>
    <row r="1163" spans="2:6" ht="29" x14ac:dyDescent="0.35">
      <c r="B1163" s="25" t="s">
        <v>373</v>
      </c>
      <c r="C1163" s="27">
        <v>12</v>
      </c>
      <c r="D1163" s="26" t="s">
        <v>1927</v>
      </c>
      <c r="E1163" s="27">
        <v>1</v>
      </c>
      <c r="F1163" s="42"/>
    </row>
    <row r="1164" spans="2:6" x14ac:dyDescent="0.35">
      <c r="B1164" s="25" t="s">
        <v>373</v>
      </c>
      <c r="C1164" s="27">
        <v>13</v>
      </c>
      <c r="D1164" s="26" t="s">
        <v>1928</v>
      </c>
      <c r="E1164" s="27">
        <v>1</v>
      </c>
      <c r="F1164" s="42"/>
    </row>
    <row r="1165" spans="2:6" x14ac:dyDescent="0.35">
      <c r="B1165" s="25" t="s">
        <v>373</v>
      </c>
      <c r="C1165" s="27">
        <v>14</v>
      </c>
      <c r="D1165" s="26" t="s">
        <v>1929</v>
      </c>
      <c r="E1165" s="27">
        <v>1</v>
      </c>
      <c r="F1165" s="42"/>
    </row>
    <row r="1166" spans="2:6" x14ac:dyDescent="0.35">
      <c r="B1166" s="25" t="s">
        <v>373</v>
      </c>
      <c r="C1166" s="27">
        <v>15</v>
      </c>
      <c r="D1166" s="26" t="s">
        <v>1930</v>
      </c>
      <c r="E1166" s="27">
        <v>1</v>
      </c>
      <c r="F1166" s="42"/>
    </row>
    <row r="1167" spans="2:6" x14ac:dyDescent="0.35">
      <c r="B1167" s="25" t="s">
        <v>373</v>
      </c>
      <c r="C1167" s="27">
        <v>16</v>
      </c>
      <c r="D1167" s="26" t="s">
        <v>1931</v>
      </c>
      <c r="E1167" s="27">
        <v>1</v>
      </c>
      <c r="F1167" s="42"/>
    </row>
    <row r="1168" spans="2:6" x14ac:dyDescent="0.35">
      <c r="B1168" s="25" t="s">
        <v>373</v>
      </c>
      <c r="C1168" s="27">
        <v>17</v>
      </c>
      <c r="D1168" s="26" t="s">
        <v>1932</v>
      </c>
      <c r="E1168" s="27">
        <v>1</v>
      </c>
      <c r="F1168" s="42"/>
    </row>
    <row r="1169" spans="2:6" x14ac:dyDescent="0.35">
      <c r="B1169" s="25" t="s">
        <v>373</v>
      </c>
      <c r="C1169" s="27">
        <v>18</v>
      </c>
      <c r="D1169" s="26" t="s">
        <v>1933</v>
      </c>
      <c r="E1169" s="27">
        <v>1</v>
      </c>
      <c r="F1169" s="42"/>
    </row>
    <row r="1170" spans="2:6" x14ac:dyDescent="0.35">
      <c r="B1170" s="25" t="s">
        <v>373</v>
      </c>
      <c r="C1170" s="27">
        <v>19</v>
      </c>
      <c r="D1170" s="26" t="s">
        <v>1934</v>
      </c>
      <c r="E1170" s="27">
        <v>1</v>
      </c>
      <c r="F1170" s="42"/>
    </row>
    <row r="1171" spans="2:6" x14ac:dyDescent="0.35">
      <c r="B1171" s="25" t="s">
        <v>373</v>
      </c>
      <c r="C1171" s="27">
        <v>20</v>
      </c>
      <c r="D1171" s="26" t="s">
        <v>1935</v>
      </c>
      <c r="E1171" s="27">
        <v>1</v>
      </c>
      <c r="F1171" s="42"/>
    </row>
    <row r="1172" spans="2:6" x14ac:dyDescent="0.35">
      <c r="B1172" s="25" t="s">
        <v>373</v>
      </c>
      <c r="C1172" s="27">
        <v>21</v>
      </c>
      <c r="D1172" s="26" t="s">
        <v>1936</v>
      </c>
      <c r="E1172" s="27">
        <v>1</v>
      </c>
      <c r="F1172" s="42"/>
    </row>
    <row r="1173" spans="2:6" ht="29" x14ac:dyDescent="0.35">
      <c r="B1173" s="25" t="s">
        <v>373</v>
      </c>
      <c r="C1173" s="27">
        <v>22</v>
      </c>
      <c r="D1173" s="26" t="s">
        <v>1937</v>
      </c>
      <c r="E1173" s="27">
        <v>1</v>
      </c>
      <c r="F1173" s="42"/>
    </row>
    <row r="1174" spans="2:6" ht="29" x14ac:dyDescent="0.35">
      <c r="B1174" s="25" t="s">
        <v>373</v>
      </c>
      <c r="C1174" s="27">
        <v>23</v>
      </c>
      <c r="D1174" s="26" t="s">
        <v>1938</v>
      </c>
      <c r="E1174" s="27">
        <v>1</v>
      </c>
      <c r="F1174" s="42"/>
    </row>
    <row r="1175" spans="2:6" x14ac:dyDescent="0.35">
      <c r="B1175" s="25" t="s">
        <v>373</v>
      </c>
      <c r="C1175" s="27">
        <v>24</v>
      </c>
      <c r="D1175" s="26" t="s">
        <v>1939</v>
      </c>
      <c r="E1175" s="27">
        <v>1</v>
      </c>
      <c r="F1175" s="42"/>
    </row>
    <row r="1176" spans="2:6" x14ac:dyDescent="0.35">
      <c r="B1176" s="25" t="s">
        <v>373</v>
      </c>
      <c r="C1176" s="27">
        <v>25</v>
      </c>
      <c r="D1176" s="26" t="s">
        <v>1940</v>
      </c>
      <c r="E1176" s="27">
        <v>1</v>
      </c>
      <c r="F1176" s="42"/>
    </row>
    <row r="1177" spans="2:6" x14ac:dyDescent="0.35">
      <c r="B1177" s="25" t="s">
        <v>373</v>
      </c>
      <c r="C1177" s="27">
        <v>26</v>
      </c>
      <c r="D1177" s="26" t="s">
        <v>1941</v>
      </c>
      <c r="E1177" s="27">
        <v>1</v>
      </c>
      <c r="F1177" s="42"/>
    </row>
    <row r="1178" spans="2:6" ht="29" x14ac:dyDescent="0.35">
      <c r="B1178" s="25" t="s">
        <v>373</v>
      </c>
      <c r="C1178" s="27">
        <v>27</v>
      </c>
      <c r="D1178" s="26" t="s">
        <v>1942</v>
      </c>
      <c r="E1178" s="27">
        <v>1</v>
      </c>
      <c r="F1178" s="42"/>
    </row>
    <row r="1179" spans="2:6" ht="29" x14ac:dyDescent="0.35">
      <c r="B1179" s="25" t="s">
        <v>373</v>
      </c>
      <c r="C1179" s="27">
        <v>28</v>
      </c>
      <c r="D1179" s="26" t="s">
        <v>1943</v>
      </c>
      <c r="E1179" s="27">
        <v>1</v>
      </c>
      <c r="F1179" s="42"/>
    </row>
    <row r="1180" spans="2:6" ht="29" x14ac:dyDescent="0.35">
      <c r="B1180" s="25" t="s">
        <v>373</v>
      </c>
      <c r="C1180" s="27">
        <v>29</v>
      </c>
      <c r="D1180" s="26" t="s">
        <v>1944</v>
      </c>
      <c r="E1180" s="27">
        <v>1</v>
      </c>
      <c r="F1180" s="42"/>
    </row>
    <row r="1181" spans="2:6" x14ac:dyDescent="0.35">
      <c r="B1181" s="25" t="s">
        <v>373</v>
      </c>
      <c r="C1181" s="27">
        <v>30</v>
      </c>
      <c r="D1181" s="26" t="s">
        <v>1945</v>
      </c>
      <c r="E1181" s="27">
        <v>1</v>
      </c>
      <c r="F1181" s="42"/>
    </row>
    <row r="1182" spans="2:6" ht="29" x14ac:dyDescent="0.35">
      <c r="B1182" s="25" t="s">
        <v>373</v>
      </c>
      <c r="C1182" s="27">
        <v>31</v>
      </c>
      <c r="D1182" s="26" t="s">
        <v>1946</v>
      </c>
      <c r="E1182" s="27">
        <v>1</v>
      </c>
      <c r="F1182" s="42"/>
    </row>
    <row r="1183" spans="2:6" ht="29" x14ac:dyDescent="0.35">
      <c r="B1183" s="25" t="s">
        <v>373</v>
      </c>
      <c r="C1183" s="27">
        <v>32</v>
      </c>
      <c r="D1183" s="26" t="s">
        <v>1947</v>
      </c>
      <c r="E1183" s="27">
        <v>1</v>
      </c>
      <c r="F1183" s="42"/>
    </row>
    <row r="1184" spans="2:6" x14ac:dyDescent="0.35">
      <c r="B1184" s="25" t="s">
        <v>373</v>
      </c>
      <c r="C1184" s="27">
        <v>33</v>
      </c>
      <c r="D1184" s="26" t="s">
        <v>1948</v>
      </c>
      <c r="E1184" s="27">
        <v>1</v>
      </c>
      <c r="F1184" s="42"/>
    </row>
    <row r="1185" spans="2:6" ht="43.5" x14ac:dyDescent="0.35">
      <c r="B1185" s="25" t="s">
        <v>373</v>
      </c>
      <c r="C1185" s="27">
        <v>34</v>
      </c>
      <c r="D1185" s="26" t="s">
        <v>1949</v>
      </c>
      <c r="E1185" s="27">
        <v>1</v>
      </c>
      <c r="F1185" s="42"/>
    </row>
    <row r="1186" spans="2:6" ht="29" x14ac:dyDescent="0.35">
      <c r="B1186" s="25" t="s">
        <v>373</v>
      </c>
      <c r="C1186" s="27">
        <v>35</v>
      </c>
      <c r="D1186" s="26" t="s">
        <v>1950</v>
      </c>
      <c r="E1186" s="27">
        <v>1</v>
      </c>
      <c r="F1186" s="42"/>
    </row>
    <row r="1187" spans="2:6" ht="29" x14ac:dyDescent="0.35">
      <c r="B1187" s="25" t="s">
        <v>373</v>
      </c>
      <c r="C1187" s="27">
        <v>36</v>
      </c>
      <c r="D1187" s="26" t="s">
        <v>1951</v>
      </c>
      <c r="E1187" s="27">
        <v>1</v>
      </c>
      <c r="F1187" s="42"/>
    </row>
    <row r="1188" spans="2:6" ht="29" x14ac:dyDescent="0.35">
      <c r="B1188" s="25" t="s">
        <v>373</v>
      </c>
      <c r="C1188" s="27">
        <v>37</v>
      </c>
      <c r="D1188" s="26" t="s">
        <v>1952</v>
      </c>
      <c r="E1188" s="27">
        <v>1</v>
      </c>
      <c r="F1188" s="42"/>
    </row>
    <row r="1189" spans="2:6" ht="29" x14ac:dyDescent="0.35">
      <c r="B1189" s="25" t="s">
        <v>373</v>
      </c>
      <c r="C1189" s="27">
        <v>38</v>
      </c>
      <c r="D1189" s="26" t="s">
        <v>1953</v>
      </c>
      <c r="E1189" s="27">
        <v>1</v>
      </c>
      <c r="F1189" s="42"/>
    </row>
    <row r="1190" spans="2:6" x14ac:dyDescent="0.35">
      <c r="B1190" s="25" t="s">
        <v>373</v>
      </c>
      <c r="C1190" s="27">
        <v>39</v>
      </c>
      <c r="D1190" s="26" t="s">
        <v>1954</v>
      </c>
      <c r="E1190" s="27">
        <v>1</v>
      </c>
      <c r="F1190" s="42"/>
    </row>
    <row r="1191" spans="2:6" x14ac:dyDescent="0.35">
      <c r="B1191" s="25" t="s">
        <v>373</v>
      </c>
      <c r="C1191" s="27">
        <v>40</v>
      </c>
      <c r="D1191" s="26" t="s">
        <v>1955</v>
      </c>
      <c r="E1191" s="27">
        <v>1</v>
      </c>
      <c r="F1191" s="42"/>
    </row>
    <row r="1192" spans="2:6" x14ac:dyDescent="0.35">
      <c r="B1192" s="25" t="s">
        <v>373</v>
      </c>
      <c r="C1192" s="27">
        <v>41</v>
      </c>
      <c r="D1192" s="26" t="s">
        <v>1956</v>
      </c>
      <c r="E1192" s="27">
        <v>1</v>
      </c>
      <c r="F1192" s="42"/>
    </row>
    <row r="1193" spans="2:6" ht="29" x14ac:dyDescent="0.35">
      <c r="B1193" s="25" t="s">
        <v>373</v>
      </c>
      <c r="C1193" s="27">
        <v>42</v>
      </c>
      <c r="D1193" s="26" t="s">
        <v>1957</v>
      </c>
      <c r="E1193" s="27">
        <v>1</v>
      </c>
      <c r="F1193" s="42"/>
    </row>
    <row r="1194" spans="2:6" x14ac:dyDescent="0.35">
      <c r="B1194" s="25" t="s">
        <v>373</v>
      </c>
      <c r="C1194" s="27">
        <v>43</v>
      </c>
      <c r="D1194" s="26" t="s">
        <v>1958</v>
      </c>
      <c r="E1194" s="27">
        <v>1</v>
      </c>
      <c r="F1194" s="42"/>
    </row>
    <row r="1195" spans="2:6" ht="29" x14ac:dyDescent="0.35">
      <c r="B1195" s="25" t="s">
        <v>373</v>
      </c>
      <c r="C1195" s="27">
        <v>44</v>
      </c>
      <c r="D1195" s="26" t="s">
        <v>1959</v>
      </c>
      <c r="E1195" s="27">
        <v>1</v>
      </c>
      <c r="F1195" s="42"/>
    </row>
    <row r="1196" spans="2:6" ht="29" x14ac:dyDescent="0.35">
      <c r="B1196" s="25" t="s">
        <v>373</v>
      </c>
      <c r="C1196" s="27">
        <v>45</v>
      </c>
      <c r="D1196" s="26" t="s">
        <v>1960</v>
      </c>
      <c r="E1196" s="27">
        <v>1</v>
      </c>
      <c r="F1196" s="42"/>
    </row>
    <row r="1197" spans="2:6" ht="29" x14ac:dyDescent="0.35">
      <c r="B1197" s="25" t="s">
        <v>373</v>
      </c>
      <c r="C1197" s="27">
        <v>46</v>
      </c>
      <c r="D1197" s="26" t="s">
        <v>1961</v>
      </c>
      <c r="E1197" s="27">
        <v>1</v>
      </c>
      <c r="F1197" s="42"/>
    </row>
    <row r="1198" spans="2:6" x14ac:dyDescent="0.35">
      <c r="B1198" s="25" t="s">
        <v>373</v>
      </c>
      <c r="C1198" s="27">
        <v>47</v>
      </c>
      <c r="D1198" s="26" t="s">
        <v>1962</v>
      </c>
      <c r="E1198" s="27">
        <v>1</v>
      </c>
      <c r="F1198" s="42"/>
    </row>
    <row r="1199" spans="2:6" ht="29" x14ac:dyDescent="0.35">
      <c r="B1199" s="25" t="s">
        <v>373</v>
      </c>
      <c r="C1199" s="27">
        <v>48</v>
      </c>
      <c r="D1199" s="26" t="s">
        <v>1963</v>
      </c>
      <c r="E1199" s="27">
        <v>1</v>
      </c>
      <c r="F1199" s="42"/>
    </row>
    <row r="1200" spans="2:6" x14ac:dyDescent="0.35">
      <c r="B1200" s="25" t="s">
        <v>371</v>
      </c>
      <c r="C1200" s="27">
        <v>1</v>
      </c>
      <c r="D1200" s="26" t="s">
        <v>1964</v>
      </c>
      <c r="E1200" s="27">
        <v>0</v>
      </c>
      <c r="F1200" s="42"/>
    </row>
    <row r="1201" spans="2:6" x14ac:dyDescent="0.35">
      <c r="B1201" s="25" t="s">
        <v>371</v>
      </c>
      <c r="C1201" s="27" t="s">
        <v>1965</v>
      </c>
      <c r="D1201" s="26" t="s">
        <v>1966</v>
      </c>
      <c r="E1201" s="27">
        <v>1</v>
      </c>
      <c r="F1201" s="42"/>
    </row>
    <row r="1202" spans="2:6" x14ac:dyDescent="0.35">
      <c r="B1202" s="25" t="s">
        <v>371</v>
      </c>
      <c r="C1202" s="27" t="s">
        <v>1967</v>
      </c>
      <c r="D1202" s="26" t="s">
        <v>1920</v>
      </c>
      <c r="E1202" s="27">
        <v>1</v>
      </c>
      <c r="F1202" s="42"/>
    </row>
    <row r="1203" spans="2:6" x14ac:dyDescent="0.35">
      <c r="B1203" s="25" t="s">
        <v>371</v>
      </c>
      <c r="C1203" s="27">
        <v>2</v>
      </c>
      <c r="D1203" s="26" t="s">
        <v>1968</v>
      </c>
      <c r="E1203" s="27">
        <v>0</v>
      </c>
      <c r="F1203" s="42"/>
    </row>
    <row r="1204" spans="2:6" x14ac:dyDescent="0.35">
      <c r="B1204" s="25" t="s">
        <v>371</v>
      </c>
      <c r="C1204" s="27" t="s">
        <v>1969</v>
      </c>
      <c r="D1204" s="26" t="s">
        <v>1970</v>
      </c>
      <c r="E1204" s="27">
        <v>1</v>
      </c>
      <c r="F1204" s="42"/>
    </row>
    <row r="1205" spans="2:6" x14ac:dyDescent="0.35">
      <c r="B1205" s="25" t="s">
        <v>371</v>
      </c>
      <c r="C1205" s="27" t="s">
        <v>1971</v>
      </c>
      <c r="D1205" s="26" t="s">
        <v>1922</v>
      </c>
      <c r="E1205" s="27">
        <v>1</v>
      </c>
      <c r="F1205" s="42"/>
    </row>
    <row r="1206" spans="2:6" x14ac:dyDescent="0.35">
      <c r="B1206" s="25" t="s">
        <v>371</v>
      </c>
      <c r="C1206" s="27">
        <v>3</v>
      </c>
      <c r="D1206" s="26" t="s">
        <v>1972</v>
      </c>
      <c r="E1206" s="27">
        <v>0</v>
      </c>
      <c r="F1206" s="42"/>
    </row>
    <row r="1207" spans="2:6" x14ac:dyDescent="0.35">
      <c r="B1207" s="25" t="s">
        <v>371</v>
      </c>
      <c r="C1207" s="27" t="s">
        <v>1973</v>
      </c>
      <c r="D1207" s="26" t="s">
        <v>1974</v>
      </c>
      <c r="E1207" s="27">
        <v>1</v>
      </c>
      <c r="F1207" s="42"/>
    </row>
    <row r="1208" spans="2:6" ht="29" x14ac:dyDescent="0.35">
      <c r="B1208" s="25" t="s">
        <v>371</v>
      </c>
      <c r="C1208" s="27" t="s">
        <v>1975</v>
      </c>
      <c r="D1208" s="26" t="s">
        <v>1976</v>
      </c>
      <c r="E1208" s="27">
        <v>1</v>
      </c>
      <c r="F1208" s="42"/>
    </row>
    <row r="1209" spans="2:6" ht="29" x14ac:dyDescent="0.35">
      <c r="B1209" s="25" t="s">
        <v>371</v>
      </c>
      <c r="C1209" s="27" t="s">
        <v>1977</v>
      </c>
      <c r="D1209" s="26" t="s">
        <v>1978</v>
      </c>
      <c r="E1209" s="27">
        <v>1</v>
      </c>
      <c r="F1209" s="42"/>
    </row>
    <row r="1210" spans="2:6" x14ac:dyDescent="0.35">
      <c r="B1210" s="25" t="s">
        <v>371</v>
      </c>
      <c r="C1210" s="27" t="s">
        <v>1979</v>
      </c>
      <c r="D1210" s="26" t="s">
        <v>1980</v>
      </c>
      <c r="E1210" s="27">
        <v>1</v>
      </c>
      <c r="F1210" s="42"/>
    </row>
    <row r="1211" spans="2:6" x14ac:dyDescent="0.35">
      <c r="B1211" s="25" t="s">
        <v>371</v>
      </c>
      <c r="C1211" s="27">
        <v>4</v>
      </c>
      <c r="D1211" s="26" t="s">
        <v>1981</v>
      </c>
      <c r="E1211" s="27">
        <v>0</v>
      </c>
      <c r="F1211" s="42"/>
    </row>
    <row r="1212" spans="2:6" ht="29" x14ac:dyDescent="0.35">
      <c r="B1212" s="25" t="s">
        <v>371</v>
      </c>
      <c r="C1212" s="27" t="s">
        <v>1982</v>
      </c>
      <c r="D1212" s="26" t="s">
        <v>1983</v>
      </c>
      <c r="E1212" s="27">
        <v>1</v>
      </c>
      <c r="F1212" s="42"/>
    </row>
    <row r="1213" spans="2:6" x14ac:dyDescent="0.35">
      <c r="B1213" s="25" t="s">
        <v>371</v>
      </c>
      <c r="C1213" s="27" t="s">
        <v>1984</v>
      </c>
      <c r="D1213" s="26" t="s">
        <v>1985</v>
      </c>
      <c r="E1213" s="27">
        <v>1</v>
      </c>
      <c r="F1213" s="42"/>
    </row>
    <row r="1214" spans="2:6" x14ac:dyDescent="0.35">
      <c r="B1214" s="25" t="s">
        <v>391</v>
      </c>
      <c r="C1214" s="27">
        <v>0</v>
      </c>
      <c r="D1214" s="26" t="s">
        <v>1662</v>
      </c>
      <c r="E1214" s="27">
        <v>0</v>
      </c>
      <c r="F1214" s="42"/>
    </row>
    <row r="1215" spans="2:6" x14ac:dyDescent="0.35">
      <c r="B1215" s="25" t="s">
        <v>391</v>
      </c>
      <c r="C1215" s="27">
        <v>1</v>
      </c>
      <c r="D1215" s="26" t="s">
        <v>1986</v>
      </c>
      <c r="E1215" s="27">
        <v>1</v>
      </c>
      <c r="F1215" s="42"/>
    </row>
    <row r="1216" spans="2:6" x14ac:dyDescent="0.35">
      <c r="B1216" s="25" t="s">
        <v>391</v>
      </c>
      <c r="C1216" s="27">
        <v>2</v>
      </c>
      <c r="D1216" s="26" t="s">
        <v>1987</v>
      </c>
      <c r="E1216" s="27">
        <v>0</v>
      </c>
      <c r="F1216" s="42"/>
    </row>
    <row r="1217" spans="2:6" x14ac:dyDescent="0.35">
      <c r="B1217" s="25" t="s">
        <v>391</v>
      </c>
      <c r="C1217" s="27">
        <v>3</v>
      </c>
      <c r="D1217" s="26" t="s">
        <v>1988</v>
      </c>
      <c r="E1217" s="27">
        <v>0</v>
      </c>
      <c r="F1217" s="42"/>
    </row>
    <row r="1218" spans="2:6" x14ac:dyDescent="0.35">
      <c r="B1218" s="25" t="s">
        <v>389</v>
      </c>
      <c r="C1218" s="27">
        <v>1</v>
      </c>
      <c r="D1218" s="26" t="s">
        <v>1989</v>
      </c>
      <c r="E1218" s="27">
        <v>1</v>
      </c>
      <c r="F1218" s="42"/>
    </row>
    <row r="1219" spans="2:6" x14ac:dyDescent="0.35">
      <c r="B1219" s="25" t="s">
        <v>389</v>
      </c>
      <c r="C1219" s="27">
        <v>2</v>
      </c>
      <c r="D1219" s="26" t="s">
        <v>1990</v>
      </c>
      <c r="E1219" s="27">
        <v>1</v>
      </c>
      <c r="F1219" s="42"/>
    </row>
    <row r="1220" spans="2:6" ht="29" x14ac:dyDescent="0.35">
      <c r="B1220" s="25" t="s">
        <v>389</v>
      </c>
      <c r="C1220" s="27">
        <v>3</v>
      </c>
      <c r="D1220" s="26" t="s">
        <v>1991</v>
      </c>
      <c r="E1220" s="27">
        <v>1</v>
      </c>
      <c r="F1220" s="42"/>
    </row>
    <row r="1221" spans="2:6" x14ac:dyDescent="0.35">
      <c r="B1221" s="25" t="s">
        <v>389</v>
      </c>
      <c r="C1221" s="27">
        <v>4</v>
      </c>
      <c r="D1221" s="26" t="s">
        <v>1992</v>
      </c>
      <c r="E1221" s="27">
        <v>1</v>
      </c>
      <c r="F1221" s="42"/>
    </row>
    <row r="1222" spans="2:6" x14ac:dyDescent="0.35">
      <c r="B1222" s="25" t="s">
        <v>389</v>
      </c>
      <c r="C1222" s="27">
        <v>5</v>
      </c>
      <c r="D1222" s="26" t="s">
        <v>1993</v>
      </c>
      <c r="E1222" s="27">
        <v>1</v>
      </c>
      <c r="F1222" s="42"/>
    </row>
    <row r="1223" spans="2:6" ht="29" x14ac:dyDescent="0.35">
      <c r="B1223" s="25" t="s">
        <v>389</v>
      </c>
      <c r="C1223" s="27">
        <v>6</v>
      </c>
      <c r="D1223" s="26" t="s">
        <v>1994</v>
      </c>
      <c r="E1223" s="27">
        <v>1</v>
      </c>
      <c r="F1223" s="42"/>
    </row>
    <row r="1224" spans="2:6" ht="43.5" x14ac:dyDescent="0.35">
      <c r="B1224" s="25" t="s">
        <v>389</v>
      </c>
      <c r="C1224" s="27">
        <v>7</v>
      </c>
      <c r="D1224" s="26" t="s">
        <v>1995</v>
      </c>
      <c r="E1224" s="27">
        <v>1</v>
      </c>
      <c r="F1224" s="42"/>
    </row>
    <row r="1225" spans="2:6" ht="29" x14ac:dyDescent="0.35">
      <c r="B1225" s="25" t="s">
        <v>389</v>
      </c>
      <c r="C1225" s="27">
        <v>8</v>
      </c>
      <c r="D1225" s="26" t="s">
        <v>1996</v>
      </c>
      <c r="E1225" s="27">
        <v>1</v>
      </c>
      <c r="F1225" s="42"/>
    </row>
    <row r="1226" spans="2:6" ht="29" x14ac:dyDescent="0.35">
      <c r="B1226" s="25" t="s">
        <v>389</v>
      </c>
      <c r="C1226" s="27">
        <v>9</v>
      </c>
      <c r="D1226" s="26" t="s">
        <v>1997</v>
      </c>
      <c r="E1226" s="27">
        <v>1</v>
      </c>
      <c r="F1226" s="42"/>
    </row>
    <row r="1227" spans="2:6" ht="29" x14ac:dyDescent="0.35">
      <c r="B1227" s="25" t="s">
        <v>389</v>
      </c>
      <c r="C1227" s="27">
        <v>10</v>
      </c>
      <c r="D1227" s="26" t="s">
        <v>1998</v>
      </c>
      <c r="E1227" s="27">
        <v>1</v>
      </c>
      <c r="F1227" s="42"/>
    </row>
    <row r="1228" spans="2:6" ht="43.5" x14ac:dyDescent="0.35">
      <c r="B1228" s="25" t="s">
        <v>389</v>
      </c>
      <c r="C1228" s="27">
        <v>11</v>
      </c>
      <c r="D1228" s="26" t="s">
        <v>1999</v>
      </c>
      <c r="E1228" s="27">
        <v>1</v>
      </c>
      <c r="F1228" s="42"/>
    </row>
    <row r="1229" spans="2:6" ht="29" x14ac:dyDescent="0.35">
      <c r="B1229" s="25" t="s">
        <v>389</v>
      </c>
      <c r="C1229" s="27">
        <v>12</v>
      </c>
      <c r="D1229" s="26" t="s">
        <v>2000</v>
      </c>
      <c r="E1229" s="27">
        <v>1</v>
      </c>
      <c r="F1229" s="42"/>
    </row>
    <row r="1230" spans="2:6" ht="29" x14ac:dyDescent="0.35">
      <c r="B1230" s="25" t="s">
        <v>389</v>
      </c>
      <c r="C1230" s="27">
        <v>13</v>
      </c>
      <c r="D1230" s="26" t="s">
        <v>2001</v>
      </c>
      <c r="E1230" s="27">
        <v>1</v>
      </c>
      <c r="F1230" s="42"/>
    </row>
    <row r="1231" spans="2:6" ht="29" x14ac:dyDescent="0.35">
      <c r="B1231" s="25" t="s">
        <v>389</v>
      </c>
      <c r="C1231" s="27">
        <v>14</v>
      </c>
      <c r="D1231" s="26" t="s">
        <v>2002</v>
      </c>
      <c r="E1231" s="27">
        <v>1</v>
      </c>
      <c r="F1231" s="42"/>
    </row>
    <row r="1232" spans="2:6" ht="29" x14ac:dyDescent="0.35">
      <c r="B1232" s="25" t="s">
        <v>389</v>
      </c>
      <c r="C1232" s="27">
        <v>15</v>
      </c>
      <c r="D1232" s="26" t="s">
        <v>2003</v>
      </c>
      <c r="E1232" s="27">
        <v>1</v>
      </c>
      <c r="F1232" s="42"/>
    </row>
    <row r="1233" spans="2:6" x14ac:dyDescent="0.35">
      <c r="B1233" s="25" t="s">
        <v>389</v>
      </c>
      <c r="C1233" s="27">
        <v>16</v>
      </c>
      <c r="D1233" s="26" t="s">
        <v>2004</v>
      </c>
      <c r="E1233" s="27">
        <v>1</v>
      </c>
      <c r="F1233" s="42"/>
    </row>
    <row r="1234" spans="2:6" x14ac:dyDescent="0.35">
      <c r="B1234" s="25" t="s">
        <v>389</v>
      </c>
      <c r="C1234" s="27">
        <v>17</v>
      </c>
      <c r="D1234" s="26" t="s">
        <v>2005</v>
      </c>
      <c r="E1234" s="27">
        <v>1</v>
      </c>
      <c r="F1234" s="42"/>
    </row>
    <row r="1235" spans="2:6" x14ac:dyDescent="0.35">
      <c r="B1235" s="25" t="s">
        <v>389</v>
      </c>
      <c r="C1235" s="27">
        <v>18</v>
      </c>
      <c r="D1235" s="26" t="s">
        <v>2006</v>
      </c>
      <c r="E1235" s="27">
        <v>1</v>
      </c>
      <c r="F1235" s="42"/>
    </row>
    <row r="1236" spans="2:6" x14ac:dyDescent="0.35">
      <c r="B1236" s="25" t="s">
        <v>389</v>
      </c>
      <c r="C1236" s="27">
        <v>19</v>
      </c>
      <c r="D1236" s="26" t="s">
        <v>2007</v>
      </c>
      <c r="E1236" s="27">
        <v>1</v>
      </c>
      <c r="F1236" s="42"/>
    </row>
    <row r="1237" spans="2:6" ht="29" x14ac:dyDescent="0.35">
      <c r="B1237" s="25" t="s">
        <v>389</v>
      </c>
      <c r="C1237" s="27">
        <v>20</v>
      </c>
      <c r="D1237" s="26" t="s">
        <v>2008</v>
      </c>
      <c r="E1237" s="27">
        <v>1</v>
      </c>
      <c r="F1237" s="42"/>
    </row>
    <row r="1238" spans="2:6" x14ac:dyDescent="0.35">
      <c r="B1238" s="25" t="s">
        <v>389</v>
      </c>
      <c r="C1238" s="27">
        <v>21</v>
      </c>
      <c r="D1238" s="26" t="s">
        <v>2009</v>
      </c>
      <c r="E1238" s="27">
        <v>1</v>
      </c>
      <c r="F1238" s="42"/>
    </row>
    <row r="1239" spans="2:6" ht="43.5" x14ac:dyDescent="0.35">
      <c r="B1239" s="25" t="s">
        <v>389</v>
      </c>
      <c r="C1239" s="27">
        <v>22</v>
      </c>
      <c r="D1239" s="26" t="s">
        <v>2010</v>
      </c>
      <c r="E1239" s="27">
        <v>1</v>
      </c>
      <c r="F1239" s="42"/>
    </row>
    <row r="1240" spans="2:6" ht="29" x14ac:dyDescent="0.35">
      <c r="B1240" s="25" t="s">
        <v>389</v>
      </c>
      <c r="C1240" s="27">
        <v>23</v>
      </c>
      <c r="D1240" s="26" t="s">
        <v>2011</v>
      </c>
      <c r="E1240" s="27">
        <v>1</v>
      </c>
      <c r="F1240" s="42"/>
    </row>
    <row r="1241" spans="2:6" x14ac:dyDescent="0.35">
      <c r="B1241" s="25" t="s">
        <v>389</v>
      </c>
      <c r="C1241" s="27">
        <v>24</v>
      </c>
      <c r="D1241" s="26" t="s">
        <v>2012</v>
      </c>
      <c r="E1241" s="27">
        <v>1</v>
      </c>
      <c r="F1241" s="42"/>
    </row>
    <row r="1242" spans="2:6" ht="29" x14ac:dyDescent="0.35">
      <c r="B1242" s="25" t="s">
        <v>389</v>
      </c>
      <c r="C1242" s="27">
        <v>25</v>
      </c>
      <c r="D1242" s="26" t="s">
        <v>2013</v>
      </c>
      <c r="E1242" s="27">
        <v>1</v>
      </c>
      <c r="F1242" s="42"/>
    </row>
    <row r="1243" spans="2:6" x14ac:dyDescent="0.35">
      <c r="B1243" s="25" t="s">
        <v>389</v>
      </c>
      <c r="C1243" s="27">
        <v>26</v>
      </c>
      <c r="D1243" s="26" t="s">
        <v>2014</v>
      </c>
      <c r="E1243" s="27">
        <v>1</v>
      </c>
      <c r="F1243" s="42"/>
    </row>
    <row r="1244" spans="2:6" x14ac:dyDescent="0.35">
      <c r="B1244" s="25" t="s">
        <v>389</v>
      </c>
      <c r="C1244" s="27">
        <v>27</v>
      </c>
      <c r="D1244" s="26" t="s">
        <v>2015</v>
      </c>
      <c r="E1244" s="27">
        <v>1</v>
      </c>
      <c r="F1244" s="42"/>
    </row>
    <row r="1245" spans="2:6" ht="43.5" x14ac:dyDescent="0.35">
      <c r="B1245" s="25" t="s">
        <v>389</v>
      </c>
      <c r="C1245" s="27">
        <v>28</v>
      </c>
      <c r="D1245" s="26" t="s">
        <v>2016</v>
      </c>
      <c r="E1245" s="27">
        <v>1</v>
      </c>
      <c r="F1245" s="42"/>
    </row>
    <row r="1246" spans="2:6" x14ac:dyDescent="0.35">
      <c r="B1246" s="56" t="s">
        <v>389</v>
      </c>
      <c r="C1246" s="57">
        <v>29</v>
      </c>
      <c r="D1246" s="58" t="s">
        <v>2017</v>
      </c>
      <c r="E1246" s="57">
        <v>0</v>
      </c>
      <c r="F1246" s="59"/>
    </row>
    <row r="1247" spans="2:6" ht="43.5" x14ac:dyDescent="0.35">
      <c r="B1247" s="25" t="s">
        <v>389</v>
      </c>
      <c r="C1247" s="27">
        <v>30</v>
      </c>
      <c r="D1247" s="26" t="s">
        <v>2018</v>
      </c>
      <c r="E1247" s="27">
        <v>1</v>
      </c>
      <c r="F1247" s="42"/>
    </row>
    <row r="1248" spans="2:6" ht="29" x14ac:dyDescent="0.35">
      <c r="B1248" s="25" t="s">
        <v>389</v>
      </c>
      <c r="C1248" s="27">
        <v>31</v>
      </c>
      <c r="D1248" s="26" t="s">
        <v>2019</v>
      </c>
      <c r="E1248" s="27">
        <v>1</v>
      </c>
      <c r="F1248" s="42"/>
    </row>
    <row r="1249" spans="2:6" ht="58" x14ac:dyDescent="0.35">
      <c r="B1249" s="25" t="s">
        <v>389</v>
      </c>
      <c r="C1249" s="27">
        <v>32</v>
      </c>
      <c r="D1249" s="26" t="s">
        <v>2020</v>
      </c>
      <c r="E1249" s="27">
        <v>1</v>
      </c>
      <c r="F1249" s="42"/>
    </row>
    <row r="1250" spans="2:6" ht="43.5" x14ac:dyDescent="0.35">
      <c r="B1250" s="25" t="s">
        <v>389</v>
      </c>
      <c r="C1250" s="27">
        <v>33</v>
      </c>
      <c r="D1250" s="26" t="s">
        <v>2021</v>
      </c>
      <c r="E1250" s="27">
        <v>1</v>
      </c>
      <c r="F1250" s="42"/>
    </row>
    <row r="1251" spans="2:6" ht="29" x14ac:dyDescent="0.35">
      <c r="B1251" s="25" t="s">
        <v>389</v>
      </c>
      <c r="C1251" s="27">
        <v>34</v>
      </c>
      <c r="D1251" s="26" t="s">
        <v>2022</v>
      </c>
      <c r="E1251" s="27">
        <v>1</v>
      </c>
      <c r="F1251" s="42"/>
    </row>
    <row r="1252" spans="2:6" ht="43.5" x14ac:dyDescent="0.35">
      <c r="B1252" s="25" t="s">
        <v>389</v>
      </c>
      <c r="C1252" s="27">
        <v>35</v>
      </c>
      <c r="D1252" s="26" t="s">
        <v>2023</v>
      </c>
      <c r="E1252" s="27">
        <v>1</v>
      </c>
      <c r="F1252" s="42"/>
    </row>
    <row r="1253" spans="2:6" ht="29" x14ac:dyDescent="0.35">
      <c r="B1253" s="25" t="s">
        <v>389</v>
      </c>
      <c r="C1253" s="27">
        <v>36</v>
      </c>
      <c r="D1253" s="26" t="s">
        <v>2024</v>
      </c>
      <c r="E1253" s="27">
        <v>1</v>
      </c>
      <c r="F1253" s="42"/>
    </row>
    <row r="1254" spans="2:6" ht="58" x14ac:dyDescent="0.35">
      <c r="B1254" s="25" t="s">
        <v>389</v>
      </c>
      <c r="C1254" s="27">
        <v>37</v>
      </c>
      <c r="D1254" s="26" t="s">
        <v>2025</v>
      </c>
      <c r="E1254" s="27">
        <v>1</v>
      </c>
      <c r="F1254" s="42"/>
    </row>
    <row r="1255" spans="2:6" ht="29" x14ac:dyDescent="0.35">
      <c r="B1255" s="25" t="s">
        <v>389</v>
      </c>
      <c r="C1255" s="27">
        <v>38</v>
      </c>
      <c r="D1255" s="26" t="s">
        <v>2026</v>
      </c>
      <c r="E1255" s="27">
        <v>1</v>
      </c>
      <c r="F1255" s="42"/>
    </row>
    <row r="1256" spans="2:6" ht="58" x14ac:dyDescent="0.35">
      <c r="B1256" s="25" t="s">
        <v>389</v>
      </c>
      <c r="C1256" s="27">
        <v>39</v>
      </c>
      <c r="D1256" s="26" t="s">
        <v>2027</v>
      </c>
      <c r="E1256" s="27">
        <v>1</v>
      </c>
      <c r="F1256" s="42"/>
    </row>
    <row r="1257" spans="2:6" ht="43.5" x14ac:dyDescent="0.35">
      <c r="B1257" s="25" t="s">
        <v>389</v>
      </c>
      <c r="C1257" s="27">
        <v>40</v>
      </c>
      <c r="D1257" s="26" t="s">
        <v>2028</v>
      </c>
      <c r="E1257" s="27">
        <v>1</v>
      </c>
      <c r="F1257" s="42"/>
    </row>
    <row r="1258" spans="2:6" ht="29" x14ac:dyDescent="0.35">
      <c r="B1258" s="25" t="s">
        <v>389</v>
      </c>
      <c r="C1258" s="27">
        <v>41</v>
      </c>
      <c r="D1258" s="26" t="s">
        <v>2029</v>
      </c>
      <c r="E1258" s="27">
        <v>1</v>
      </c>
      <c r="F1258" s="42"/>
    </row>
    <row r="1259" spans="2:6" x14ac:dyDescent="0.35">
      <c r="B1259" s="25" t="s">
        <v>363</v>
      </c>
      <c r="C1259" s="27">
        <v>1</v>
      </c>
      <c r="D1259" s="26" t="s">
        <v>2030</v>
      </c>
      <c r="E1259" s="27">
        <v>1</v>
      </c>
      <c r="F1259" s="42"/>
    </row>
    <row r="1260" spans="2:6" x14ac:dyDescent="0.35">
      <c r="B1260" s="25" t="s">
        <v>363</v>
      </c>
      <c r="C1260" s="27">
        <v>2</v>
      </c>
      <c r="D1260" s="26" t="s">
        <v>2031</v>
      </c>
      <c r="E1260" s="27">
        <v>1</v>
      </c>
      <c r="F1260" s="42"/>
    </row>
    <row r="1261" spans="2:6" x14ac:dyDescent="0.35">
      <c r="B1261" s="25" t="s">
        <v>363</v>
      </c>
      <c r="C1261" s="27">
        <v>3</v>
      </c>
      <c r="D1261" s="26" t="s">
        <v>2032</v>
      </c>
      <c r="E1261" s="27">
        <v>1</v>
      </c>
      <c r="F1261" s="42"/>
    </row>
    <row r="1262" spans="2:6" x14ac:dyDescent="0.35">
      <c r="B1262" s="25" t="s">
        <v>363</v>
      </c>
      <c r="C1262" s="27">
        <v>4</v>
      </c>
      <c r="D1262" s="26" t="s">
        <v>2033</v>
      </c>
      <c r="E1262" s="27">
        <v>1</v>
      </c>
      <c r="F1262" s="42"/>
    </row>
    <row r="1263" spans="2:6" x14ac:dyDescent="0.35">
      <c r="B1263" s="25" t="s">
        <v>363</v>
      </c>
      <c r="C1263" s="27">
        <v>5</v>
      </c>
      <c r="D1263" s="26" t="s">
        <v>2034</v>
      </c>
      <c r="E1263" s="27">
        <v>1</v>
      </c>
      <c r="F1263" s="42"/>
    </row>
    <row r="1264" spans="2:6" x14ac:dyDescent="0.35">
      <c r="B1264" s="25" t="s">
        <v>363</v>
      </c>
      <c r="C1264" s="27">
        <v>6</v>
      </c>
      <c r="D1264" s="26" t="s">
        <v>2035</v>
      </c>
      <c r="E1264" s="27">
        <v>1</v>
      </c>
      <c r="F1264" s="42"/>
    </row>
    <row r="1265" spans="2:6" x14ac:dyDescent="0.35">
      <c r="B1265" s="25" t="s">
        <v>363</v>
      </c>
      <c r="C1265" s="27">
        <v>7</v>
      </c>
      <c r="D1265" s="26" t="s">
        <v>2036</v>
      </c>
      <c r="E1265" s="27">
        <v>1</v>
      </c>
      <c r="F1265" s="42"/>
    </row>
    <row r="1266" spans="2:6" x14ac:dyDescent="0.35">
      <c r="B1266" s="25" t="s">
        <v>363</v>
      </c>
      <c r="C1266" s="27">
        <v>8</v>
      </c>
      <c r="D1266" s="26" t="s">
        <v>2037</v>
      </c>
      <c r="E1266" s="27">
        <v>1</v>
      </c>
      <c r="F1266" s="42"/>
    </row>
    <row r="1267" spans="2:6" x14ac:dyDescent="0.35">
      <c r="B1267" s="25" t="s">
        <v>363</v>
      </c>
      <c r="C1267" s="27">
        <v>9</v>
      </c>
      <c r="D1267" s="26" t="s">
        <v>2038</v>
      </c>
      <c r="E1267" s="27">
        <v>1</v>
      </c>
      <c r="F1267" s="42"/>
    </row>
    <row r="1268" spans="2:6" x14ac:dyDescent="0.35">
      <c r="B1268" s="25" t="s">
        <v>363</v>
      </c>
      <c r="C1268" s="27">
        <v>10</v>
      </c>
      <c r="D1268" s="26" t="s">
        <v>2039</v>
      </c>
      <c r="E1268" s="27">
        <v>1</v>
      </c>
      <c r="F1268" s="42"/>
    </row>
    <row r="1269" spans="2:6" x14ac:dyDescent="0.35">
      <c r="B1269" s="25" t="s">
        <v>363</v>
      </c>
      <c r="C1269" s="27">
        <v>11</v>
      </c>
      <c r="D1269" s="26" t="s">
        <v>2040</v>
      </c>
      <c r="E1269" s="27">
        <v>1</v>
      </c>
      <c r="F1269" s="42"/>
    </row>
    <row r="1270" spans="2:6" ht="29" x14ac:dyDescent="0.35">
      <c r="B1270" s="25" t="s">
        <v>363</v>
      </c>
      <c r="C1270" s="27">
        <v>12</v>
      </c>
      <c r="D1270" s="26" t="s">
        <v>2041</v>
      </c>
      <c r="E1270" s="27">
        <v>1</v>
      </c>
      <c r="F1270" s="42"/>
    </row>
    <row r="1271" spans="2:6" ht="29" x14ac:dyDescent="0.35">
      <c r="B1271" s="25" t="s">
        <v>363</v>
      </c>
      <c r="C1271" s="27">
        <v>13</v>
      </c>
      <c r="D1271" s="26" t="s">
        <v>2042</v>
      </c>
      <c r="E1271" s="27">
        <v>1</v>
      </c>
      <c r="F1271" s="42"/>
    </row>
    <row r="1272" spans="2:6" ht="29" x14ac:dyDescent="0.35">
      <c r="B1272" s="25" t="s">
        <v>363</v>
      </c>
      <c r="C1272" s="27">
        <v>14</v>
      </c>
      <c r="D1272" s="26" t="s">
        <v>2043</v>
      </c>
      <c r="E1272" s="27">
        <v>1</v>
      </c>
      <c r="F1272" s="42"/>
    </row>
    <row r="1273" spans="2:6" ht="29" x14ac:dyDescent="0.35">
      <c r="B1273" s="25" t="s">
        <v>363</v>
      </c>
      <c r="C1273" s="27">
        <v>15</v>
      </c>
      <c r="D1273" s="26" t="s">
        <v>2044</v>
      </c>
      <c r="E1273" s="27">
        <v>1</v>
      </c>
      <c r="F1273" s="42"/>
    </row>
    <row r="1274" spans="2:6" ht="29" x14ac:dyDescent="0.35">
      <c r="B1274" s="25" t="s">
        <v>363</v>
      </c>
      <c r="C1274" s="27">
        <v>16</v>
      </c>
      <c r="D1274" s="26" t="s">
        <v>2045</v>
      </c>
      <c r="E1274" s="27">
        <v>1</v>
      </c>
      <c r="F1274" s="42"/>
    </row>
    <row r="1275" spans="2:6" ht="29" x14ac:dyDescent="0.35">
      <c r="B1275" s="25" t="s">
        <v>363</v>
      </c>
      <c r="C1275" s="27">
        <v>17</v>
      </c>
      <c r="D1275" s="26" t="s">
        <v>2046</v>
      </c>
      <c r="E1275" s="27">
        <v>1</v>
      </c>
      <c r="F1275" s="42"/>
    </row>
    <row r="1276" spans="2:6" ht="29" x14ac:dyDescent="0.35">
      <c r="B1276" s="25" t="s">
        <v>363</v>
      </c>
      <c r="C1276" s="27">
        <v>18</v>
      </c>
      <c r="D1276" s="26" t="s">
        <v>2047</v>
      </c>
      <c r="E1276" s="27">
        <v>1</v>
      </c>
      <c r="F1276" s="42"/>
    </row>
    <row r="1277" spans="2:6" ht="29" x14ac:dyDescent="0.35">
      <c r="B1277" s="25" t="s">
        <v>363</v>
      </c>
      <c r="C1277" s="27">
        <v>19</v>
      </c>
      <c r="D1277" s="26" t="s">
        <v>2048</v>
      </c>
      <c r="E1277" s="27">
        <v>1</v>
      </c>
      <c r="F1277" s="42"/>
    </row>
    <row r="1278" spans="2:6" ht="29" x14ac:dyDescent="0.35">
      <c r="B1278" s="25" t="s">
        <v>363</v>
      </c>
      <c r="C1278" s="27">
        <v>20</v>
      </c>
      <c r="D1278" s="26" t="s">
        <v>2049</v>
      </c>
      <c r="E1278" s="27">
        <v>1</v>
      </c>
      <c r="F1278" s="42"/>
    </row>
    <row r="1279" spans="2:6" ht="29" x14ac:dyDescent="0.35">
      <c r="B1279" s="25" t="s">
        <v>363</v>
      </c>
      <c r="C1279" s="27">
        <v>21</v>
      </c>
      <c r="D1279" s="26" t="s">
        <v>2050</v>
      </c>
      <c r="E1279" s="27">
        <v>1</v>
      </c>
      <c r="F1279" s="42"/>
    </row>
    <row r="1280" spans="2:6" ht="29" x14ac:dyDescent="0.35">
      <c r="B1280" s="25" t="s">
        <v>363</v>
      </c>
      <c r="C1280" s="27">
        <v>22</v>
      </c>
      <c r="D1280" s="26" t="s">
        <v>2051</v>
      </c>
      <c r="E1280" s="27">
        <v>1</v>
      </c>
      <c r="F1280" s="42"/>
    </row>
    <row r="1281" spans="2:6" x14ac:dyDescent="0.35">
      <c r="B1281" s="25" t="s">
        <v>363</v>
      </c>
      <c r="C1281" s="27">
        <v>23</v>
      </c>
      <c r="D1281" s="26" t="s">
        <v>2052</v>
      </c>
      <c r="E1281" s="27">
        <v>1</v>
      </c>
      <c r="F1281" s="42"/>
    </row>
    <row r="1282" spans="2:6" x14ac:dyDescent="0.35">
      <c r="B1282" s="25" t="s">
        <v>363</v>
      </c>
      <c r="C1282" s="27">
        <v>24</v>
      </c>
      <c r="D1282" s="26" t="s">
        <v>2053</v>
      </c>
      <c r="E1282" s="27">
        <v>1</v>
      </c>
      <c r="F1282" s="42"/>
    </row>
    <row r="1283" spans="2:6" x14ac:dyDescent="0.35">
      <c r="B1283" s="25" t="s">
        <v>363</v>
      </c>
      <c r="C1283" s="27">
        <v>25</v>
      </c>
      <c r="D1283" s="26" t="s">
        <v>2054</v>
      </c>
      <c r="E1283" s="27">
        <v>1</v>
      </c>
      <c r="F1283" s="42"/>
    </row>
    <row r="1284" spans="2:6" ht="29" x14ac:dyDescent="0.35">
      <c r="B1284" s="25" t="s">
        <v>363</v>
      </c>
      <c r="C1284" s="27">
        <v>26</v>
      </c>
      <c r="D1284" s="26" t="s">
        <v>2055</v>
      </c>
      <c r="E1284" s="27">
        <v>1</v>
      </c>
      <c r="F1284" s="42"/>
    </row>
    <row r="1285" spans="2:6" x14ac:dyDescent="0.35">
      <c r="B1285" s="25" t="s">
        <v>363</v>
      </c>
      <c r="C1285" s="27">
        <v>27</v>
      </c>
      <c r="D1285" s="26" t="s">
        <v>2056</v>
      </c>
      <c r="E1285" s="27">
        <v>1</v>
      </c>
      <c r="F1285" s="42"/>
    </row>
    <row r="1286" spans="2:6" x14ac:dyDescent="0.35">
      <c r="B1286" s="25" t="s">
        <v>363</v>
      </c>
      <c r="C1286" s="27">
        <v>28</v>
      </c>
      <c r="D1286" s="26" t="s">
        <v>2057</v>
      </c>
      <c r="E1286" s="27">
        <v>1</v>
      </c>
      <c r="F1286" s="42"/>
    </row>
    <row r="1287" spans="2:6" x14ac:dyDescent="0.35">
      <c r="B1287" s="25" t="s">
        <v>363</v>
      </c>
      <c r="C1287" s="27">
        <v>29</v>
      </c>
      <c r="D1287" s="26" t="s">
        <v>2058</v>
      </c>
      <c r="E1287" s="27">
        <v>1</v>
      </c>
      <c r="F1287" s="42"/>
    </row>
    <row r="1288" spans="2:6" x14ac:dyDescent="0.35">
      <c r="B1288" s="25" t="s">
        <v>363</v>
      </c>
      <c r="C1288" s="27">
        <v>30</v>
      </c>
      <c r="D1288" s="26" t="s">
        <v>2059</v>
      </c>
      <c r="E1288" s="27">
        <v>1</v>
      </c>
      <c r="F1288" s="42"/>
    </row>
    <row r="1289" spans="2:6" x14ac:dyDescent="0.35">
      <c r="B1289" s="25" t="s">
        <v>363</v>
      </c>
      <c r="C1289" s="27">
        <v>31</v>
      </c>
      <c r="D1289" s="26" t="s">
        <v>2060</v>
      </c>
      <c r="E1289" s="27">
        <v>1</v>
      </c>
      <c r="F1289" s="42"/>
    </row>
    <row r="1290" spans="2:6" x14ac:dyDescent="0.35">
      <c r="B1290" s="25" t="s">
        <v>363</v>
      </c>
      <c r="C1290" s="27">
        <v>32</v>
      </c>
      <c r="D1290" s="26" t="s">
        <v>2061</v>
      </c>
      <c r="E1290" s="27">
        <v>1</v>
      </c>
      <c r="F1290" s="42"/>
    </row>
    <row r="1291" spans="2:6" x14ac:dyDescent="0.35">
      <c r="B1291" s="25" t="s">
        <v>377</v>
      </c>
      <c r="C1291" s="27">
        <v>1</v>
      </c>
      <c r="D1291" s="26" t="s">
        <v>2062</v>
      </c>
      <c r="E1291" s="27">
        <v>1</v>
      </c>
      <c r="F1291" s="42"/>
    </row>
    <row r="1292" spans="2:6" x14ac:dyDescent="0.35">
      <c r="B1292" s="25" t="s">
        <v>377</v>
      </c>
      <c r="C1292" s="27">
        <v>2</v>
      </c>
      <c r="D1292" s="26" t="s">
        <v>2063</v>
      </c>
      <c r="E1292" s="27">
        <v>1</v>
      </c>
      <c r="F1292" s="42"/>
    </row>
    <row r="1293" spans="2:6" x14ac:dyDescent="0.35">
      <c r="B1293" s="25" t="s">
        <v>377</v>
      </c>
      <c r="C1293" s="27">
        <v>3</v>
      </c>
      <c r="D1293" s="26" t="s">
        <v>2064</v>
      </c>
      <c r="E1293" s="27">
        <v>0</v>
      </c>
      <c r="F1293" s="42"/>
    </row>
    <row r="1294" spans="2:6" x14ac:dyDescent="0.35">
      <c r="B1294" s="25" t="s">
        <v>377</v>
      </c>
      <c r="C1294" s="27">
        <v>4</v>
      </c>
      <c r="D1294" s="26" t="s">
        <v>2065</v>
      </c>
      <c r="E1294" s="27">
        <v>0</v>
      </c>
      <c r="F1294" s="42"/>
    </row>
    <row r="1295" spans="2:6" x14ac:dyDescent="0.35">
      <c r="B1295" s="25" t="s">
        <v>354</v>
      </c>
      <c r="C1295" s="27">
        <v>1</v>
      </c>
      <c r="D1295" s="26" t="s">
        <v>2066</v>
      </c>
      <c r="E1295" s="27">
        <v>1</v>
      </c>
      <c r="F1295" s="42"/>
    </row>
    <row r="1296" spans="2:6" x14ac:dyDescent="0.35">
      <c r="B1296" s="25" t="s">
        <v>354</v>
      </c>
      <c r="C1296" s="27">
        <v>2</v>
      </c>
      <c r="D1296" s="26" t="s">
        <v>2067</v>
      </c>
      <c r="E1296" s="27">
        <v>1</v>
      </c>
      <c r="F1296" s="42"/>
    </row>
    <row r="1297" spans="2:6" x14ac:dyDescent="0.35">
      <c r="B1297" s="25" t="s">
        <v>354</v>
      </c>
      <c r="C1297" s="27">
        <v>3</v>
      </c>
      <c r="D1297" s="26" t="s">
        <v>2068</v>
      </c>
      <c r="E1297" s="27">
        <v>1</v>
      </c>
      <c r="F1297" s="42"/>
    </row>
    <row r="1298" spans="2:6" x14ac:dyDescent="0.35">
      <c r="B1298" s="25" t="s">
        <v>354</v>
      </c>
      <c r="C1298" s="27">
        <v>4</v>
      </c>
      <c r="D1298" s="26" t="s">
        <v>2069</v>
      </c>
      <c r="E1298" s="27">
        <v>1</v>
      </c>
      <c r="F1298" s="42"/>
    </row>
    <row r="1299" spans="2:6" x14ac:dyDescent="0.35">
      <c r="B1299" s="25" t="s">
        <v>354</v>
      </c>
      <c r="C1299" s="27">
        <v>5</v>
      </c>
      <c r="D1299" s="26" t="s">
        <v>2070</v>
      </c>
      <c r="E1299" s="27">
        <v>1</v>
      </c>
      <c r="F1299" s="42"/>
    </row>
    <row r="1300" spans="2:6" x14ac:dyDescent="0.35">
      <c r="B1300" s="25" t="s">
        <v>354</v>
      </c>
      <c r="C1300" s="27">
        <v>6</v>
      </c>
      <c r="D1300" s="26" t="s">
        <v>2071</v>
      </c>
      <c r="E1300" s="27">
        <v>1</v>
      </c>
      <c r="F1300" s="42"/>
    </row>
    <row r="1301" spans="2:6" x14ac:dyDescent="0.35">
      <c r="B1301" s="25" t="s">
        <v>354</v>
      </c>
      <c r="C1301" s="27">
        <v>7</v>
      </c>
      <c r="D1301" s="26" t="s">
        <v>2072</v>
      </c>
      <c r="E1301" s="27">
        <v>1</v>
      </c>
      <c r="F1301" s="42"/>
    </row>
    <row r="1302" spans="2:6" x14ac:dyDescent="0.35">
      <c r="B1302" s="25" t="s">
        <v>354</v>
      </c>
      <c r="C1302" s="27">
        <v>8</v>
      </c>
      <c r="D1302" s="26" t="s">
        <v>2073</v>
      </c>
      <c r="E1302" s="27">
        <v>1</v>
      </c>
      <c r="F1302" s="42"/>
    </row>
    <row r="1303" spans="2:6" ht="29" x14ac:dyDescent="0.35">
      <c r="B1303" s="25" t="s">
        <v>354</v>
      </c>
      <c r="C1303" s="27">
        <v>9</v>
      </c>
      <c r="D1303" s="26" t="s">
        <v>2074</v>
      </c>
      <c r="E1303" s="27">
        <v>1</v>
      </c>
      <c r="F1303" s="42"/>
    </row>
    <row r="1304" spans="2:6" x14ac:dyDescent="0.35">
      <c r="B1304" s="25" t="s">
        <v>354</v>
      </c>
      <c r="C1304" s="27">
        <v>10</v>
      </c>
      <c r="D1304" s="26" t="s">
        <v>2075</v>
      </c>
      <c r="E1304" s="27">
        <v>1</v>
      </c>
      <c r="F1304" s="42"/>
    </row>
    <row r="1305" spans="2:6" x14ac:dyDescent="0.35">
      <c r="B1305" s="25" t="s">
        <v>348</v>
      </c>
      <c r="C1305" s="27">
        <v>1</v>
      </c>
      <c r="D1305" s="26" t="s">
        <v>2076</v>
      </c>
      <c r="E1305" s="27">
        <v>1</v>
      </c>
      <c r="F1305" s="42"/>
    </row>
    <row r="1306" spans="2:6" x14ac:dyDescent="0.35">
      <c r="B1306" s="25" t="s">
        <v>348</v>
      </c>
      <c r="C1306" s="27">
        <v>2</v>
      </c>
      <c r="D1306" s="26" t="s">
        <v>2077</v>
      </c>
      <c r="E1306" s="27">
        <v>1</v>
      </c>
      <c r="F1306" s="42"/>
    </row>
    <row r="1307" spans="2:6" x14ac:dyDescent="0.35">
      <c r="B1307" s="25" t="s">
        <v>381</v>
      </c>
      <c r="C1307" s="27">
        <v>0</v>
      </c>
      <c r="D1307" s="26" t="s">
        <v>641</v>
      </c>
      <c r="E1307" s="27">
        <v>1</v>
      </c>
      <c r="F1307" s="42" t="s">
        <v>2078</v>
      </c>
    </row>
    <row r="1308" spans="2:6" ht="43.5" x14ac:dyDescent="0.35">
      <c r="B1308" s="25" t="s">
        <v>381</v>
      </c>
      <c r="C1308" s="27">
        <v>1</v>
      </c>
      <c r="D1308" s="26" t="s">
        <v>643</v>
      </c>
      <c r="E1308" s="27">
        <v>1</v>
      </c>
      <c r="F1308" s="42" t="s">
        <v>2079</v>
      </c>
    </row>
    <row r="1309" spans="2:6" ht="43.5" x14ac:dyDescent="0.35">
      <c r="B1309" s="25" t="s">
        <v>381</v>
      </c>
      <c r="C1309" s="27">
        <v>2</v>
      </c>
      <c r="D1309" s="26" t="s">
        <v>645</v>
      </c>
      <c r="E1309" s="27">
        <v>1</v>
      </c>
      <c r="F1309" s="42" t="s">
        <v>2079</v>
      </c>
    </row>
    <row r="1310" spans="2:6" ht="43.5" x14ac:dyDescent="0.35">
      <c r="B1310" s="25" t="s">
        <v>381</v>
      </c>
      <c r="C1310" s="27">
        <v>3</v>
      </c>
      <c r="D1310" s="26" t="s">
        <v>647</v>
      </c>
      <c r="E1310" s="27">
        <v>1</v>
      </c>
      <c r="F1310" s="42" t="s">
        <v>2079</v>
      </c>
    </row>
    <row r="1311" spans="2:6" ht="29" x14ac:dyDescent="0.35">
      <c r="B1311" s="25" t="s">
        <v>381</v>
      </c>
      <c r="C1311" s="27">
        <v>4</v>
      </c>
      <c r="D1311" s="26" t="s">
        <v>2080</v>
      </c>
      <c r="E1311" s="27">
        <v>1</v>
      </c>
      <c r="F1311" s="42" t="s">
        <v>2081</v>
      </c>
    </row>
    <row r="1312" spans="2:6" ht="87" x14ac:dyDescent="0.35">
      <c r="B1312" s="25" t="s">
        <v>381</v>
      </c>
      <c r="C1312" s="27">
        <v>5</v>
      </c>
      <c r="D1312" s="26" t="s">
        <v>2082</v>
      </c>
      <c r="E1312" s="27">
        <v>1</v>
      </c>
      <c r="F1312" s="42" t="s">
        <v>2083</v>
      </c>
    </row>
    <row r="1313" spans="2:6" x14ac:dyDescent="0.35">
      <c r="B1313" s="25" t="s">
        <v>397</v>
      </c>
      <c r="C1313" s="27">
        <v>0</v>
      </c>
      <c r="D1313" s="26" t="s">
        <v>84</v>
      </c>
      <c r="E1313" s="27">
        <v>1</v>
      </c>
      <c r="F1313" s="42" t="s">
        <v>84</v>
      </c>
    </row>
    <row r="1314" spans="2:6" ht="29" x14ac:dyDescent="0.35">
      <c r="B1314" s="25" t="s">
        <v>397</v>
      </c>
      <c r="C1314" s="27">
        <v>1</v>
      </c>
      <c r="D1314" s="26" t="s">
        <v>2084</v>
      </c>
      <c r="E1314" s="27">
        <v>1</v>
      </c>
      <c r="F1314" s="42" t="s">
        <v>2085</v>
      </c>
    </row>
    <row r="1315" spans="2:6" ht="29" x14ac:dyDescent="0.35">
      <c r="B1315" s="25" t="s">
        <v>397</v>
      </c>
      <c r="C1315" s="27">
        <v>2</v>
      </c>
      <c r="D1315" s="26" t="s">
        <v>2086</v>
      </c>
      <c r="E1315" s="27">
        <v>1</v>
      </c>
      <c r="F1315" s="42" t="s">
        <v>2087</v>
      </c>
    </row>
    <row r="1316" spans="2:6" ht="29" x14ac:dyDescent="0.35">
      <c r="B1316" s="25" t="s">
        <v>397</v>
      </c>
      <c r="C1316" s="27">
        <v>3</v>
      </c>
      <c r="D1316" s="26" t="s">
        <v>2088</v>
      </c>
      <c r="E1316" s="27">
        <v>1</v>
      </c>
      <c r="F1316" s="42" t="s">
        <v>2088</v>
      </c>
    </row>
    <row r="1317" spans="2:6" x14ac:dyDescent="0.35">
      <c r="B1317" s="25" t="s">
        <v>407</v>
      </c>
      <c r="C1317" s="27">
        <v>1</v>
      </c>
      <c r="D1317" s="26" t="s">
        <v>2089</v>
      </c>
      <c r="E1317" s="27">
        <v>1</v>
      </c>
      <c r="F1317" s="42"/>
    </row>
    <row r="1318" spans="2:6" x14ac:dyDescent="0.35">
      <c r="B1318" s="25" t="s">
        <v>407</v>
      </c>
      <c r="C1318" s="27">
        <v>2</v>
      </c>
      <c r="D1318" s="26" t="s">
        <v>2090</v>
      </c>
      <c r="E1318" s="27">
        <v>1</v>
      </c>
      <c r="F1318" s="42"/>
    </row>
    <row r="1319" spans="2:6" x14ac:dyDescent="0.35">
      <c r="B1319" s="25" t="s">
        <v>407</v>
      </c>
      <c r="C1319" s="27">
        <v>3</v>
      </c>
      <c r="D1319" s="26" t="s">
        <v>2091</v>
      </c>
      <c r="E1319" s="27">
        <v>1</v>
      </c>
      <c r="F1319" s="42"/>
    </row>
    <row r="1320" spans="2:6" x14ac:dyDescent="0.35">
      <c r="B1320" s="25" t="s">
        <v>407</v>
      </c>
      <c r="C1320" s="27">
        <v>4</v>
      </c>
      <c r="D1320" s="26" t="s">
        <v>2092</v>
      </c>
      <c r="E1320" s="27">
        <v>1</v>
      </c>
      <c r="F1320" s="42"/>
    </row>
    <row r="1321" spans="2:6" x14ac:dyDescent="0.35">
      <c r="B1321" s="25" t="s">
        <v>407</v>
      </c>
      <c r="C1321" s="27">
        <v>5</v>
      </c>
      <c r="D1321" s="26" t="s">
        <v>2093</v>
      </c>
      <c r="E1321" s="27">
        <v>1</v>
      </c>
      <c r="F1321" s="42"/>
    </row>
    <row r="1322" spans="2:6" x14ac:dyDescent="0.35">
      <c r="B1322" s="25" t="s">
        <v>407</v>
      </c>
      <c r="C1322" s="27">
        <v>6</v>
      </c>
      <c r="D1322" s="26" t="s">
        <v>2094</v>
      </c>
      <c r="E1322" s="27">
        <v>1</v>
      </c>
      <c r="F1322" s="42"/>
    </row>
    <row r="1323" spans="2:6" x14ac:dyDescent="0.35">
      <c r="B1323" s="25" t="s">
        <v>407</v>
      </c>
      <c r="C1323" s="27">
        <v>7</v>
      </c>
      <c r="D1323" s="26" t="s">
        <v>2095</v>
      </c>
      <c r="E1323" s="27">
        <v>1</v>
      </c>
      <c r="F1323" s="42"/>
    </row>
    <row r="1324" spans="2:6" x14ac:dyDescent="0.35">
      <c r="B1324" s="25" t="s">
        <v>318</v>
      </c>
      <c r="C1324" s="27" t="s">
        <v>1965</v>
      </c>
      <c r="D1324" s="26" t="s">
        <v>2096</v>
      </c>
      <c r="E1324" s="27">
        <v>1</v>
      </c>
      <c r="F1324" s="42"/>
    </row>
    <row r="1325" spans="2:6" x14ac:dyDescent="0.35">
      <c r="B1325" s="25" t="s">
        <v>318</v>
      </c>
      <c r="C1325" s="27" t="s">
        <v>1967</v>
      </c>
      <c r="D1325" s="26" t="s">
        <v>2097</v>
      </c>
      <c r="E1325" s="27">
        <v>1</v>
      </c>
      <c r="F1325" s="42"/>
    </row>
    <row r="1326" spans="2:6" x14ac:dyDescent="0.35">
      <c r="B1326" s="25" t="s">
        <v>318</v>
      </c>
      <c r="C1326" s="27" t="s">
        <v>2098</v>
      </c>
      <c r="D1326" s="26" t="s">
        <v>2099</v>
      </c>
      <c r="E1326" s="27">
        <v>1</v>
      </c>
      <c r="F1326" s="42"/>
    </row>
    <row r="1327" spans="2:6" x14ac:dyDescent="0.35">
      <c r="B1327" s="25" t="s">
        <v>318</v>
      </c>
      <c r="C1327" s="27" t="s">
        <v>2100</v>
      </c>
      <c r="D1327" s="26" t="s">
        <v>2101</v>
      </c>
      <c r="E1327" s="27">
        <v>1</v>
      </c>
      <c r="F1327" s="42"/>
    </row>
    <row r="1328" spans="2:6" x14ac:dyDescent="0.35">
      <c r="B1328" s="25" t="s">
        <v>318</v>
      </c>
      <c r="C1328" s="27" t="s">
        <v>2102</v>
      </c>
      <c r="D1328" s="26" t="s">
        <v>2103</v>
      </c>
      <c r="E1328" s="27">
        <v>1</v>
      </c>
      <c r="F1328" s="42"/>
    </row>
    <row r="1329" spans="2:6" x14ac:dyDescent="0.35">
      <c r="B1329" s="25" t="s">
        <v>318</v>
      </c>
      <c r="C1329" s="27" t="s">
        <v>2104</v>
      </c>
      <c r="D1329" s="26" t="s">
        <v>2105</v>
      </c>
      <c r="E1329" s="27">
        <v>1</v>
      </c>
      <c r="F1329" s="42"/>
    </row>
    <row r="1330" spans="2:6" x14ac:dyDescent="0.35">
      <c r="B1330" s="25" t="s">
        <v>318</v>
      </c>
      <c r="C1330" s="27" t="s">
        <v>2106</v>
      </c>
      <c r="D1330" s="26" t="s">
        <v>2107</v>
      </c>
      <c r="E1330" s="27">
        <v>1</v>
      </c>
      <c r="F1330" s="42"/>
    </row>
    <row r="1331" spans="2:6" x14ac:dyDescent="0.35">
      <c r="B1331" s="25" t="s">
        <v>318</v>
      </c>
      <c r="C1331" s="27" t="s">
        <v>2108</v>
      </c>
      <c r="D1331" s="26" t="s">
        <v>2109</v>
      </c>
      <c r="E1331" s="27">
        <v>1</v>
      </c>
      <c r="F1331" s="42"/>
    </row>
    <row r="1332" spans="2:6" x14ac:dyDescent="0.35">
      <c r="B1332" s="25" t="s">
        <v>318</v>
      </c>
      <c r="C1332" s="27" t="s">
        <v>2110</v>
      </c>
      <c r="D1332" s="26" t="s">
        <v>2111</v>
      </c>
      <c r="E1332" s="27">
        <v>1</v>
      </c>
      <c r="F1332" s="42"/>
    </row>
    <row r="1333" spans="2:6" x14ac:dyDescent="0.35">
      <c r="B1333" s="25" t="s">
        <v>318</v>
      </c>
      <c r="C1333" s="27" t="s">
        <v>2112</v>
      </c>
      <c r="D1333" s="26" t="s">
        <v>2113</v>
      </c>
      <c r="E1333" s="27">
        <v>1</v>
      </c>
      <c r="F1333" s="42"/>
    </row>
    <row r="1334" spans="2:6" x14ac:dyDescent="0.35">
      <c r="B1334" s="25" t="s">
        <v>318</v>
      </c>
      <c r="C1334" s="27" t="s">
        <v>2114</v>
      </c>
      <c r="D1334" s="26" t="s">
        <v>2115</v>
      </c>
      <c r="E1334" s="27">
        <v>1</v>
      </c>
      <c r="F1334" s="42"/>
    </row>
    <row r="1335" spans="2:6" x14ac:dyDescent="0.35">
      <c r="B1335" s="25" t="s">
        <v>318</v>
      </c>
      <c r="C1335" s="27" t="s">
        <v>2116</v>
      </c>
      <c r="D1335" s="26" t="s">
        <v>2117</v>
      </c>
      <c r="E1335" s="27">
        <v>1</v>
      </c>
      <c r="F1335" s="42"/>
    </row>
    <row r="1336" spans="2:6" x14ac:dyDescent="0.35">
      <c r="B1336" s="25" t="s">
        <v>318</v>
      </c>
      <c r="C1336" s="27" t="s">
        <v>2118</v>
      </c>
      <c r="D1336" s="26" t="s">
        <v>2119</v>
      </c>
      <c r="E1336" s="27">
        <v>1</v>
      </c>
      <c r="F1336" s="42"/>
    </row>
    <row r="1337" spans="2:6" x14ac:dyDescent="0.35">
      <c r="B1337" s="25" t="s">
        <v>318</v>
      </c>
      <c r="C1337" s="27" t="s">
        <v>2120</v>
      </c>
      <c r="D1337" s="26" t="s">
        <v>2121</v>
      </c>
      <c r="E1337" s="27">
        <v>1</v>
      </c>
      <c r="F1337" s="42"/>
    </row>
    <row r="1338" spans="2:6" x14ac:dyDescent="0.35">
      <c r="B1338" s="25" t="s">
        <v>318</v>
      </c>
      <c r="C1338" s="27" t="s">
        <v>2122</v>
      </c>
      <c r="D1338" s="26" t="s">
        <v>2123</v>
      </c>
      <c r="E1338" s="27">
        <v>1</v>
      </c>
      <c r="F1338" s="42"/>
    </row>
    <row r="1339" spans="2:6" x14ac:dyDescent="0.35">
      <c r="B1339" s="25" t="s">
        <v>318</v>
      </c>
      <c r="C1339" s="27" t="s">
        <v>2124</v>
      </c>
      <c r="D1339" s="26" t="s">
        <v>2125</v>
      </c>
      <c r="E1339" s="27">
        <v>1</v>
      </c>
      <c r="F1339" s="42"/>
    </row>
    <row r="1340" spans="2:6" x14ac:dyDescent="0.35">
      <c r="B1340" s="25" t="s">
        <v>318</v>
      </c>
      <c r="C1340" s="27" t="s">
        <v>2126</v>
      </c>
      <c r="D1340" s="26" t="s">
        <v>2127</v>
      </c>
      <c r="E1340" s="27">
        <v>1</v>
      </c>
      <c r="F1340" s="42"/>
    </row>
    <row r="1341" spans="2:6" x14ac:dyDescent="0.35">
      <c r="B1341" s="25" t="s">
        <v>318</v>
      </c>
      <c r="C1341" s="27" t="s">
        <v>2128</v>
      </c>
      <c r="D1341" s="26" t="s">
        <v>2129</v>
      </c>
      <c r="E1341" s="27">
        <v>1</v>
      </c>
      <c r="F1341" s="42"/>
    </row>
    <row r="1342" spans="2:6" x14ac:dyDescent="0.35">
      <c r="B1342" s="25" t="s">
        <v>318</v>
      </c>
      <c r="C1342" s="27" t="s">
        <v>2130</v>
      </c>
      <c r="D1342" s="26" t="s">
        <v>2131</v>
      </c>
      <c r="E1342" s="27">
        <v>1</v>
      </c>
      <c r="F1342" s="42"/>
    </row>
    <row r="1343" spans="2:6" x14ac:dyDescent="0.35">
      <c r="B1343" s="25" t="s">
        <v>318</v>
      </c>
      <c r="C1343" s="27" t="s">
        <v>2132</v>
      </c>
      <c r="D1343" s="26" t="s">
        <v>2133</v>
      </c>
      <c r="E1343" s="27">
        <v>1</v>
      </c>
      <c r="F1343" s="42"/>
    </row>
    <row r="1344" spans="2:6" x14ac:dyDescent="0.35">
      <c r="B1344" s="25" t="s">
        <v>318</v>
      </c>
      <c r="C1344" s="27" t="s">
        <v>1969</v>
      </c>
      <c r="D1344" s="26" t="s">
        <v>2096</v>
      </c>
      <c r="E1344" s="27">
        <v>1</v>
      </c>
      <c r="F1344" s="42"/>
    </row>
    <row r="1345" spans="2:6" x14ac:dyDescent="0.35">
      <c r="B1345" s="25" t="s">
        <v>318</v>
      </c>
      <c r="C1345" s="27" t="s">
        <v>1971</v>
      </c>
      <c r="D1345" s="26" t="s">
        <v>2134</v>
      </c>
      <c r="E1345" s="27">
        <v>1</v>
      </c>
      <c r="F1345" s="42"/>
    </row>
    <row r="1346" spans="2:6" x14ac:dyDescent="0.35">
      <c r="B1346" s="25" t="s">
        <v>318</v>
      </c>
      <c r="C1346" s="27" t="s">
        <v>2135</v>
      </c>
      <c r="D1346" s="26" t="s">
        <v>2136</v>
      </c>
      <c r="E1346" s="27">
        <v>1</v>
      </c>
      <c r="F1346" s="42"/>
    </row>
    <row r="1347" spans="2:6" x14ac:dyDescent="0.35">
      <c r="B1347" s="25" t="s">
        <v>318</v>
      </c>
      <c r="C1347" s="27" t="s">
        <v>2137</v>
      </c>
      <c r="D1347" s="26" t="s">
        <v>2138</v>
      </c>
      <c r="E1347" s="27">
        <v>1</v>
      </c>
      <c r="F1347" s="42"/>
    </row>
    <row r="1348" spans="2:6" x14ac:dyDescent="0.35">
      <c r="B1348" s="25" t="s">
        <v>318</v>
      </c>
      <c r="C1348" s="27" t="s">
        <v>2139</v>
      </c>
      <c r="D1348" s="26" t="s">
        <v>2140</v>
      </c>
      <c r="E1348" s="27">
        <v>1</v>
      </c>
      <c r="F1348" s="42"/>
    </row>
    <row r="1349" spans="2:6" x14ac:dyDescent="0.35">
      <c r="B1349" s="25" t="s">
        <v>318</v>
      </c>
      <c r="C1349" s="27" t="s">
        <v>2141</v>
      </c>
      <c r="D1349" s="26" t="s">
        <v>2142</v>
      </c>
      <c r="E1349" s="27">
        <v>1</v>
      </c>
      <c r="F1349" s="42"/>
    </row>
    <row r="1350" spans="2:6" x14ac:dyDescent="0.35">
      <c r="B1350" s="25" t="s">
        <v>318</v>
      </c>
      <c r="C1350" s="27" t="s">
        <v>2143</v>
      </c>
      <c r="D1350" s="26" t="s">
        <v>2144</v>
      </c>
      <c r="E1350" s="27">
        <v>1</v>
      </c>
      <c r="F1350" s="42"/>
    </row>
    <row r="1351" spans="2:6" x14ac:dyDescent="0.35">
      <c r="B1351" s="25" t="s">
        <v>318</v>
      </c>
      <c r="C1351" s="27" t="s">
        <v>2145</v>
      </c>
      <c r="D1351" s="26" t="s">
        <v>2146</v>
      </c>
      <c r="E1351" s="27">
        <v>1</v>
      </c>
      <c r="F1351" s="42"/>
    </row>
    <row r="1352" spans="2:6" x14ac:dyDescent="0.35">
      <c r="B1352" s="25" t="s">
        <v>318</v>
      </c>
      <c r="C1352" s="27" t="s">
        <v>2147</v>
      </c>
      <c r="D1352" s="26" t="s">
        <v>2148</v>
      </c>
      <c r="E1352" s="27">
        <v>1</v>
      </c>
      <c r="F1352" s="42"/>
    </row>
    <row r="1353" spans="2:6" x14ac:dyDescent="0.35">
      <c r="B1353" s="25" t="s">
        <v>318</v>
      </c>
      <c r="C1353" s="27" t="s">
        <v>2149</v>
      </c>
      <c r="D1353" s="26" t="s">
        <v>2150</v>
      </c>
      <c r="E1353" s="27">
        <v>1</v>
      </c>
      <c r="F1353" s="42"/>
    </row>
    <row r="1354" spans="2:6" x14ac:dyDescent="0.35">
      <c r="B1354" s="25" t="s">
        <v>318</v>
      </c>
      <c r="C1354" s="27" t="s">
        <v>2151</v>
      </c>
      <c r="D1354" s="26" t="s">
        <v>2152</v>
      </c>
      <c r="E1354" s="27">
        <v>1</v>
      </c>
      <c r="F1354" s="42"/>
    </row>
    <row r="1355" spans="2:6" x14ac:dyDescent="0.35">
      <c r="B1355" s="25" t="s">
        <v>318</v>
      </c>
      <c r="C1355" s="27" t="s">
        <v>2153</v>
      </c>
      <c r="D1355" s="26" t="s">
        <v>2154</v>
      </c>
      <c r="E1355" s="27">
        <v>1</v>
      </c>
      <c r="F1355" s="42"/>
    </row>
    <row r="1356" spans="2:6" x14ac:dyDescent="0.35">
      <c r="B1356" s="25" t="s">
        <v>318</v>
      </c>
      <c r="C1356" s="27" t="s">
        <v>2155</v>
      </c>
      <c r="D1356" s="26" t="s">
        <v>2156</v>
      </c>
      <c r="E1356" s="27">
        <v>1</v>
      </c>
      <c r="F1356" s="42"/>
    </row>
    <row r="1357" spans="2:6" x14ac:dyDescent="0.35">
      <c r="B1357" s="25" t="s">
        <v>318</v>
      </c>
      <c r="C1357" s="27" t="s">
        <v>2157</v>
      </c>
      <c r="D1357" s="26" t="s">
        <v>2158</v>
      </c>
      <c r="E1357" s="27">
        <v>1</v>
      </c>
      <c r="F1357" s="42"/>
    </row>
    <row r="1358" spans="2:6" x14ac:dyDescent="0.35">
      <c r="B1358" s="25" t="s">
        <v>318</v>
      </c>
      <c r="C1358" s="27" t="s">
        <v>2159</v>
      </c>
      <c r="D1358" s="26" t="s">
        <v>2160</v>
      </c>
      <c r="E1358" s="27">
        <v>1</v>
      </c>
      <c r="F1358" s="42"/>
    </row>
    <row r="1359" spans="2:6" x14ac:dyDescent="0.35">
      <c r="B1359" s="25" t="s">
        <v>318</v>
      </c>
      <c r="C1359" s="27" t="s">
        <v>2161</v>
      </c>
      <c r="D1359" s="26" t="s">
        <v>2162</v>
      </c>
      <c r="E1359" s="27">
        <v>1</v>
      </c>
      <c r="F1359" s="42"/>
    </row>
    <row r="1360" spans="2:6" x14ac:dyDescent="0.35">
      <c r="B1360" s="25" t="s">
        <v>318</v>
      </c>
      <c r="C1360" s="27" t="s">
        <v>1973</v>
      </c>
      <c r="D1360" s="26" t="s">
        <v>2096</v>
      </c>
      <c r="E1360" s="27">
        <v>1</v>
      </c>
      <c r="F1360" s="42"/>
    </row>
    <row r="1361" spans="2:6" x14ac:dyDescent="0.35">
      <c r="B1361" s="25" t="s">
        <v>318</v>
      </c>
      <c r="C1361" s="27" t="s">
        <v>1975</v>
      </c>
      <c r="D1361" s="26" t="s">
        <v>2163</v>
      </c>
      <c r="E1361" s="27">
        <v>1</v>
      </c>
      <c r="F1361" s="42"/>
    </row>
    <row r="1362" spans="2:6" x14ac:dyDescent="0.35">
      <c r="B1362" s="25" t="s">
        <v>318</v>
      </c>
      <c r="C1362" s="27" t="s">
        <v>1977</v>
      </c>
      <c r="D1362" s="26" t="s">
        <v>2164</v>
      </c>
      <c r="E1362" s="27">
        <v>1</v>
      </c>
      <c r="F1362" s="42"/>
    </row>
    <row r="1363" spans="2:6" x14ac:dyDescent="0.35">
      <c r="B1363" s="25" t="s">
        <v>318</v>
      </c>
      <c r="C1363" s="27" t="s">
        <v>1979</v>
      </c>
      <c r="D1363" s="26" t="s">
        <v>2165</v>
      </c>
      <c r="E1363" s="27">
        <v>1</v>
      </c>
      <c r="F1363" s="42"/>
    </row>
    <row r="1364" spans="2:6" x14ac:dyDescent="0.35">
      <c r="B1364" s="25" t="s">
        <v>318</v>
      </c>
      <c r="C1364" s="27" t="s">
        <v>2166</v>
      </c>
      <c r="D1364" s="26" t="s">
        <v>2167</v>
      </c>
      <c r="E1364" s="27">
        <v>1</v>
      </c>
      <c r="F1364" s="42"/>
    </row>
    <row r="1365" spans="2:6" x14ac:dyDescent="0.35">
      <c r="B1365" s="25" t="s">
        <v>318</v>
      </c>
      <c r="C1365" s="27" t="s">
        <v>2168</v>
      </c>
      <c r="D1365" s="26" t="s">
        <v>2169</v>
      </c>
      <c r="E1365" s="27">
        <v>1</v>
      </c>
      <c r="F1365" s="42"/>
    </row>
    <row r="1366" spans="2:6" x14ac:dyDescent="0.35">
      <c r="B1366" s="25" t="s">
        <v>318</v>
      </c>
      <c r="C1366" s="27" t="s">
        <v>2170</v>
      </c>
      <c r="D1366" s="26" t="s">
        <v>2171</v>
      </c>
      <c r="E1366" s="27">
        <v>1</v>
      </c>
      <c r="F1366" s="42"/>
    </row>
    <row r="1367" spans="2:6" x14ac:dyDescent="0.35">
      <c r="B1367" s="25" t="s">
        <v>318</v>
      </c>
      <c r="C1367" s="27" t="s">
        <v>2172</v>
      </c>
      <c r="D1367" s="26" t="s">
        <v>2173</v>
      </c>
      <c r="E1367" s="27">
        <v>1</v>
      </c>
      <c r="F1367" s="42"/>
    </row>
    <row r="1368" spans="2:6" x14ac:dyDescent="0.35">
      <c r="B1368" s="25" t="s">
        <v>318</v>
      </c>
      <c r="C1368" s="27" t="s">
        <v>1982</v>
      </c>
      <c r="D1368" s="26" t="s">
        <v>2096</v>
      </c>
      <c r="E1368" s="27">
        <v>1</v>
      </c>
      <c r="F1368" s="42"/>
    </row>
    <row r="1369" spans="2:6" x14ac:dyDescent="0.35">
      <c r="B1369" s="25" t="s">
        <v>318</v>
      </c>
      <c r="C1369" s="27" t="s">
        <v>1984</v>
      </c>
      <c r="D1369" s="26" t="s">
        <v>2174</v>
      </c>
      <c r="E1369" s="27">
        <v>1</v>
      </c>
      <c r="F1369" s="42"/>
    </row>
    <row r="1370" spans="2:6" x14ac:dyDescent="0.35">
      <c r="B1370" s="25" t="s">
        <v>318</v>
      </c>
      <c r="C1370" s="27" t="s">
        <v>2175</v>
      </c>
      <c r="D1370" s="26" t="s">
        <v>2176</v>
      </c>
      <c r="E1370" s="27">
        <v>1</v>
      </c>
      <c r="F1370" s="42"/>
    </row>
    <row r="1371" spans="2:6" x14ac:dyDescent="0.35">
      <c r="B1371" s="25" t="s">
        <v>318</v>
      </c>
      <c r="C1371" s="27" t="s">
        <v>2177</v>
      </c>
      <c r="D1371" s="26" t="s">
        <v>2178</v>
      </c>
      <c r="E1371" s="27">
        <v>1</v>
      </c>
      <c r="F1371" s="42"/>
    </row>
    <row r="1372" spans="2:6" x14ac:dyDescent="0.35">
      <c r="B1372" s="25" t="s">
        <v>318</v>
      </c>
      <c r="C1372" s="27" t="s">
        <v>2179</v>
      </c>
      <c r="D1372" s="26" t="s">
        <v>2180</v>
      </c>
      <c r="E1372" s="27">
        <v>1</v>
      </c>
      <c r="F1372" s="42"/>
    </row>
    <row r="1373" spans="2:6" x14ac:dyDescent="0.35">
      <c r="B1373" s="25" t="s">
        <v>318</v>
      </c>
      <c r="C1373" s="27" t="s">
        <v>2181</v>
      </c>
      <c r="D1373" s="26" t="s">
        <v>2182</v>
      </c>
      <c r="E1373" s="27">
        <v>1</v>
      </c>
      <c r="F1373" s="42"/>
    </row>
    <row r="1374" spans="2:6" x14ac:dyDescent="0.35">
      <c r="B1374" s="25" t="s">
        <v>318</v>
      </c>
      <c r="C1374" s="27" t="s">
        <v>2183</v>
      </c>
      <c r="D1374" s="26" t="s">
        <v>2184</v>
      </c>
      <c r="E1374" s="27">
        <v>1</v>
      </c>
      <c r="F1374" s="42"/>
    </row>
    <row r="1375" spans="2:6" x14ac:dyDescent="0.35">
      <c r="B1375" s="25" t="s">
        <v>318</v>
      </c>
      <c r="C1375" s="27" t="s">
        <v>2185</v>
      </c>
      <c r="D1375" s="26" t="s">
        <v>2186</v>
      </c>
      <c r="E1375" s="27">
        <v>1</v>
      </c>
      <c r="F1375" s="42"/>
    </row>
    <row r="1376" spans="2:6" x14ac:dyDescent="0.35">
      <c r="B1376" s="25" t="s">
        <v>318</v>
      </c>
      <c r="C1376" s="27" t="s">
        <v>2187</v>
      </c>
      <c r="D1376" s="26" t="s">
        <v>2188</v>
      </c>
      <c r="E1376" s="27">
        <v>1</v>
      </c>
      <c r="F1376" s="42"/>
    </row>
    <row r="1377" spans="2:6" x14ac:dyDescent="0.35">
      <c r="B1377" s="25" t="s">
        <v>318</v>
      </c>
      <c r="C1377" s="27" t="s">
        <v>2189</v>
      </c>
      <c r="D1377" s="26" t="s">
        <v>2190</v>
      </c>
      <c r="E1377" s="27">
        <v>1</v>
      </c>
      <c r="F1377" s="42"/>
    </row>
    <row r="1378" spans="2:6" x14ac:dyDescent="0.35">
      <c r="B1378" s="25" t="s">
        <v>318</v>
      </c>
      <c r="C1378" s="27" t="s">
        <v>2191</v>
      </c>
      <c r="D1378" s="26" t="s">
        <v>2192</v>
      </c>
      <c r="E1378" s="27">
        <v>1</v>
      </c>
      <c r="F1378" s="42"/>
    </row>
    <row r="1379" spans="2:6" x14ac:dyDescent="0.35">
      <c r="B1379" s="25" t="s">
        <v>318</v>
      </c>
      <c r="C1379" s="27" t="s">
        <v>2193</v>
      </c>
      <c r="D1379" s="26" t="s">
        <v>2194</v>
      </c>
      <c r="E1379" s="27">
        <v>1</v>
      </c>
      <c r="F1379" s="42"/>
    </row>
    <row r="1380" spans="2:6" x14ac:dyDescent="0.35">
      <c r="B1380" s="25" t="s">
        <v>318</v>
      </c>
      <c r="C1380" s="27" t="s">
        <v>2195</v>
      </c>
      <c r="D1380" s="26" t="s">
        <v>2196</v>
      </c>
      <c r="E1380" s="27">
        <v>1</v>
      </c>
      <c r="F1380" s="42"/>
    </row>
    <row r="1381" spans="2:6" x14ac:dyDescent="0.35">
      <c r="B1381" s="25" t="s">
        <v>318</v>
      </c>
      <c r="C1381" s="27" t="s">
        <v>2197</v>
      </c>
      <c r="D1381" s="26" t="s">
        <v>2198</v>
      </c>
      <c r="E1381" s="27">
        <v>1</v>
      </c>
      <c r="F1381" s="42"/>
    </row>
    <row r="1382" spans="2:6" x14ac:dyDescent="0.35">
      <c r="B1382" s="25" t="s">
        <v>318</v>
      </c>
      <c r="C1382" s="27" t="s">
        <v>2199</v>
      </c>
      <c r="D1382" s="26" t="s">
        <v>2200</v>
      </c>
      <c r="E1382" s="27">
        <v>1</v>
      </c>
      <c r="F1382" s="42"/>
    </row>
    <row r="1383" spans="2:6" x14ac:dyDescent="0.35">
      <c r="B1383" s="25" t="s">
        <v>318</v>
      </c>
      <c r="C1383" s="27" t="s">
        <v>2201</v>
      </c>
      <c r="D1383" s="26" t="s">
        <v>2202</v>
      </c>
      <c r="E1383" s="27">
        <v>1</v>
      </c>
      <c r="F1383" s="42"/>
    </row>
    <row r="1384" spans="2:6" x14ac:dyDescent="0.35">
      <c r="B1384" s="25" t="s">
        <v>318</v>
      </c>
      <c r="C1384" s="27" t="s">
        <v>2203</v>
      </c>
      <c r="D1384" s="26" t="s">
        <v>2204</v>
      </c>
      <c r="E1384" s="27">
        <v>1</v>
      </c>
      <c r="F1384" s="42"/>
    </row>
    <row r="1385" spans="2:6" x14ac:dyDescent="0.35">
      <c r="B1385" s="25" t="s">
        <v>318</v>
      </c>
      <c r="C1385" s="27" t="s">
        <v>2205</v>
      </c>
      <c r="D1385" s="26" t="s">
        <v>2206</v>
      </c>
      <c r="E1385" s="27">
        <v>1</v>
      </c>
      <c r="F1385" s="42"/>
    </row>
    <row r="1386" spans="2:6" x14ac:dyDescent="0.35">
      <c r="B1386" s="25" t="s">
        <v>318</v>
      </c>
      <c r="C1386" s="27" t="s">
        <v>2207</v>
      </c>
      <c r="D1386" s="26" t="s">
        <v>2208</v>
      </c>
      <c r="E1386" s="27">
        <v>1</v>
      </c>
      <c r="F1386" s="42"/>
    </row>
    <row r="1387" spans="2:6" x14ac:dyDescent="0.35">
      <c r="B1387" s="25" t="s">
        <v>318</v>
      </c>
      <c r="C1387" s="27" t="s">
        <v>2209</v>
      </c>
      <c r="D1387" s="26" t="s">
        <v>2210</v>
      </c>
      <c r="E1387" s="27">
        <v>1</v>
      </c>
      <c r="F1387" s="42"/>
    </row>
    <row r="1388" spans="2:6" x14ac:dyDescent="0.35">
      <c r="B1388" s="25" t="s">
        <v>318</v>
      </c>
      <c r="C1388" s="27" t="s">
        <v>2211</v>
      </c>
      <c r="D1388" s="26" t="s">
        <v>2212</v>
      </c>
      <c r="E1388" s="27">
        <v>1</v>
      </c>
      <c r="F1388" s="42"/>
    </row>
    <row r="1389" spans="2:6" x14ac:dyDescent="0.35">
      <c r="B1389" s="25" t="s">
        <v>318</v>
      </c>
      <c r="C1389" s="27" t="s">
        <v>2213</v>
      </c>
      <c r="D1389" s="26" t="s">
        <v>2096</v>
      </c>
      <c r="E1389" s="27">
        <v>1</v>
      </c>
      <c r="F1389" s="42"/>
    </row>
    <row r="1390" spans="2:6" x14ac:dyDescent="0.35">
      <c r="B1390" s="25" t="s">
        <v>318</v>
      </c>
      <c r="C1390" s="27" t="s">
        <v>2214</v>
      </c>
      <c r="D1390" s="26" t="s">
        <v>2215</v>
      </c>
      <c r="E1390" s="27">
        <v>1</v>
      </c>
      <c r="F1390" s="42"/>
    </row>
    <row r="1391" spans="2:6" x14ac:dyDescent="0.35">
      <c r="B1391" s="25" t="s">
        <v>318</v>
      </c>
      <c r="C1391" s="27" t="s">
        <v>2216</v>
      </c>
      <c r="D1391" s="26" t="s">
        <v>2217</v>
      </c>
      <c r="E1391" s="27">
        <v>1</v>
      </c>
      <c r="F1391" s="42"/>
    </row>
    <row r="1392" spans="2:6" x14ac:dyDescent="0.35">
      <c r="B1392" s="25" t="s">
        <v>318</v>
      </c>
      <c r="C1392" s="27" t="s">
        <v>2218</v>
      </c>
      <c r="D1392" s="26" t="s">
        <v>2219</v>
      </c>
      <c r="E1392" s="27">
        <v>1</v>
      </c>
      <c r="F1392" s="42"/>
    </row>
    <row r="1393" spans="2:6" x14ac:dyDescent="0.35">
      <c r="B1393" s="25" t="s">
        <v>318</v>
      </c>
      <c r="C1393" s="27" t="s">
        <v>2220</v>
      </c>
      <c r="D1393" s="26" t="s">
        <v>2221</v>
      </c>
      <c r="E1393" s="27">
        <v>1</v>
      </c>
      <c r="F1393" s="42"/>
    </row>
    <row r="1394" spans="2:6" x14ac:dyDescent="0.35">
      <c r="B1394" s="25" t="s">
        <v>318</v>
      </c>
      <c r="C1394" s="27" t="s">
        <v>2222</v>
      </c>
      <c r="D1394" s="26" t="s">
        <v>2223</v>
      </c>
      <c r="E1394" s="27">
        <v>1</v>
      </c>
      <c r="F1394" s="42"/>
    </row>
    <row r="1395" spans="2:6" x14ac:dyDescent="0.35">
      <c r="B1395" s="25" t="s">
        <v>318</v>
      </c>
      <c r="C1395" s="27" t="s">
        <v>2224</v>
      </c>
      <c r="D1395" s="26" t="s">
        <v>2225</v>
      </c>
      <c r="E1395" s="27">
        <v>1</v>
      </c>
      <c r="F1395" s="42"/>
    </row>
    <row r="1396" spans="2:6" x14ac:dyDescent="0.35">
      <c r="B1396" s="25" t="s">
        <v>318</v>
      </c>
      <c r="C1396" s="27" t="s">
        <v>2226</v>
      </c>
      <c r="D1396" s="26" t="s">
        <v>2227</v>
      </c>
      <c r="E1396" s="27">
        <v>1</v>
      </c>
      <c r="F1396" s="42"/>
    </row>
    <row r="1397" spans="2:6" x14ac:dyDescent="0.35">
      <c r="B1397" s="25" t="s">
        <v>318</v>
      </c>
      <c r="C1397" s="27" t="s">
        <v>2228</v>
      </c>
      <c r="D1397" s="26" t="s">
        <v>2229</v>
      </c>
      <c r="E1397" s="27">
        <v>1</v>
      </c>
      <c r="F1397" s="42"/>
    </row>
    <row r="1398" spans="2:6" x14ac:dyDescent="0.35">
      <c r="B1398" s="25" t="s">
        <v>318</v>
      </c>
      <c r="C1398" s="27" t="s">
        <v>2230</v>
      </c>
      <c r="D1398" s="26" t="s">
        <v>2231</v>
      </c>
      <c r="E1398" s="27">
        <v>1</v>
      </c>
      <c r="F1398" s="42"/>
    </row>
    <row r="1399" spans="2:6" x14ac:dyDescent="0.35">
      <c r="B1399" s="25" t="s">
        <v>318</v>
      </c>
      <c r="C1399" s="27" t="s">
        <v>2232</v>
      </c>
      <c r="D1399" s="26" t="s">
        <v>2233</v>
      </c>
      <c r="E1399" s="27">
        <v>1</v>
      </c>
      <c r="F1399" s="42"/>
    </row>
    <row r="1400" spans="2:6" x14ac:dyDescent="0.35">
      <c r="B1400" s="25" t="s">
        <v>318</v>
      </c>
      <c r="C1400" s="27" t="s">
        <v>2234</v>
      </c>
      <c r="D1400" s="26" t="s">
        <v>2096</v>
      </c>
      <c r="E1400" s="27">
        <v>1</v>
      </c>
      <c r="F1400" s="42"/>
    </row>
    <row r="1401" spans="2:6" x14ac:dyDescent="0.35">
      <c r="B1401" s="25" t="s">
        <v>318</v>
      </c>
      <c r="C1401" s="27" t="s">
        <v>2235</v>
      </c>
      <c r="D1401" s="26" t="s">
        <v>2236</v>
      </c>
      <c r="E1401" s="27">
        <v>1</v>
      </c>
      <c r="F1401" s="42"/>
    </row>
    <row r="1402" spans="2:6" x14ac:dyDescent="0.35">
      <c r="B1402" s="25" t="s">
        <v>318</v>
      </c>
      <c r="C1402" s="27" t="s">
        <v>2237</v>
      </c>
      <c r="D1402" s="26" t="s">
        <v>2238</v>
      </c>
      <c r="E1402" s="27">
        <v>1</v>
      </c>
      <c r="F1402" s="42"/>
    </row>
    <row r="1403" spans="2:6" x14ac:dyDescent="0.35">
      <c r="B1403" s="25" t="s">
        <v>318</v>
      </c>
      <c r="C1403" s="27" t="s">
        <v>2239</v>
      </c>
      <c r="D1403" s="26" t="s">
        <v>2240</v>
      </c>
      <c r="E1403" s="27">
        <v>1</v>
      </c>
      <c r="F1403" s="42"/>
    </row>
    <row r="1404" spans="2:6" x14ac:dyDescent="0.35">
      <c r="B1404" s="25" t="s">
        <v>318</v>
      </c>
      <c r="C1404" s="27" t="s">
        <v>2241</v>
      </c>
      <c r="D1404" s="26" t="s">
        <v>2242</v>
      </c>
      <c r="E1404" s="27">
        <v>1</v>
      </c>
      <c r="F1404" s="42"/>
    </row>
    <row r="1405" spans="2:6" x14ac:dyDescent="0.35">
      <c r="B1405" s="25" t="s">
        <v>318</v>
      </c>
      <c r="C1405" s="27" t="s">
        <v>2243</v>
      </c>
      <c r="D1405" s="26" t="s">
        <v>2244</v>
      </c>
      <c r="E1405" s="27">
        <v>1</v>
      </c>
      <c r="F1405" s="42"/>
    </row>
    <row r="1406" spans="2:6" x14ac:dyDescent="0.35">
      <c r="B1406" s="25" t="s">
        <v>360</v>
      </c>
      <c r="C1406" s="27" t="s">
        <v>2245</v>
      </c>
      <c r="D1406" s="26" t="s">
        <v>2246</v>
      </c>
      <c r="E1406" s="27" t="s">
        <v>453</v>
      </c>
      <c r="F1406" s="42"/>
    </row>
    <row r="1407" spans="2:6" x14ac:dyDescent="0.35">
      <c r="B1407" s="25" t="s">
        <v>360</v>
      </c>
      <c r="C1407" s="27" t="s">
        <v>2247</v>
      </c>
      <c r="D1407" s="26" t="s">
        <v>2090</v>
      </c>
      <c r="E1407" s="27" t="s">
        <v>453</v>
      </c>
      <c r="F1407" s="42"/>
    </row>
    <row r="1408" spans="2:6" x14ac:dyDescent="0.35">
      <c r="B1408" s="25" t="s">
        <v>360</v>
      </c>
      <c r="C1408" s="27" t="s">
        <v>2248</v>
      </c>
      <c r="D1408" s="26" t="s">
        <v>2249</v>
      </c>
      <c r="E1408" s="27" t="s">
        <v>453</v>
      </c>
      <c r="F1408" s="42"/>
    </row>
    <row r="1409" spans="2:6" x14ac:dyDescent="0.35">
      <c r="B1409" s="25" t="s">
        <v>360</v>
      </c>
      <c r="C1409" s="27" t="s">
        <v>2250</v>
      </c>
      <c r="D1409" s="26" t="s">
        <v>2092</v>
      </c>
      <c r="E1409" s="27" t="s">
        <v>453</v>
      </c>
      <c r="F1409" s="42"/>
    </row>
    <row r="1410" spans="2:6" x14ac:dyDescent="0.35">
      <c r="B1410" s="25" t="s">
        <v>360</v>
      </c>
      <c r="C1410" s="27" t="s">
        <v>2251</v>
      </c>
      <c r="D1410" s="26" t="s">
        <v>2192</v>
      </c>
      <c r="E1410" s="27" t="s">
        <v>453</v>
      </c>
      <c r="F1410" s="42"/>
    </row>
    <row r="1411" spans="2:6" x14ac:dyDescent="0.35">
      <c r="B1411" s="25" t="s">
        <v>360</v>
      </c>
      <c r="C1411" s="27" t="s">
        <v>2252</v>
      </c>
      <c r="D1411" s="26" t="s">
        <v>2094</v>
      </c>
      <c r="E1411" s="27" t="s">
        <v>453</v>
      </c>
      <c r="F1411" s="42"/>
    </row>
    <row r="1412" spans="2:6" x14ac:dyDescent="0.35">
      <c r="B1412" s="25" t="s">
        <v>360</v>
      </c>
      <c r="C1412" s="27" t="s">
        <v>2253</v>
      </c>
      <c r="D1412" s="26" t="s">
        <v>2095</v>
      </c>
      <c r="E1412" s="27" t="s">
        <v>453</v>
      </c>
      <c r="F1412" s="42"/>
    </row>
    <row r="1413" spans="2:6" x14ac:dyDescent="0.35">
      <c r="B1413" s="25" t="s">
        <v>360</v>
      </c>
      <c r="C1413" s="27" t="s">
        <v>2254</v>
      </c>
      <c r="D1413" s="26" t="s">
        <v>2097</v>
      </c>
      <c r="E1413" s="27" t="s">
        <v>453</v>
      </c>
      <c r="F1413" s="42"/>
    </row>
    <row r="1414" spans="2:6" x14ac:dyDescent="0.35">
      <c r="B1414" s="25" t="s">
        <v>360</v>
      </c>
      <c r="C1414" s="27" t="s">
        <v>2255</v>
      </c>
      <c r="D1414" s="26" t="s">
        <v>2134</v>
      </c>
      <c r="E1414" s="27" t="s">
        <v>453</v>
      </c>
      <c r="F1414" s="42"/>
    </row>
    <row r="1415" spans="2:6" x14ac:dyDescent="0.35">
      <c r="B1415" s="25" t="s">
        <v>360</v>
      </c>
      <c r="C1415" s="27" t="s">
        <v>2256</v>
      </c>
      <c r="D1415" s="26" t="s">
        <v>2163</v>
      </c>
      <c r="E1415" s="27" t="s">
        <v>453</v>
      </c>
      <c r="F1415" s="42"/>
    </row>
    <row r="1416" spans="2:6" x14ac:dyDescent="0.35">
      <c r="B1416" s="25" t="s">
        <v>360</v>
      </c>
      <c r="C1416" s="27" t="s">
        <v>2257</v>
      </c>
      <c r="D1416" s="26" t="s">
        <v>2174</v>
      </c>
      <c r="E1416" s="27" t="s">
        <v>453</v>
      </c>
      <c r="F1416" s="42"/>
    </row>
    <row r="1417" spans="2:6" x14ac:dyDescent="0.35">
      <c r="B1417" s="25" t="s">
        <v>360</v>
      </c>
      <c r="C1417" s="27" t="s">
        <v>2258</v>
      </c>
      <c r="D1417" s="26" t="s">
        <v>2194</v>
      </c>
      <c r="E1417" s="27" t="s">
        <v>453</v>
      </c>
      <c r="F1417" s="42"/>
    </row>
    <row r="1418" spans="2:6" x14ac:dyDescent="0.35">
      <c r="B1418" s="25" t="s">
        <v>360</v>
      </c>
      <c r="C1418" s="27" t="s">
        <v>2259</v>
      </c>
      <c r="D1418" s="26" t="s">
        <v>2260</v>
      </c>
      <c r="E1418" s="27" t="s">
        <v>453</v>
      </c>
      <c r="F1418" s="42"/>
    </row>
    <row r="1419" spans="2:6" x14ac:dyDescent="0.35">
      <c r="B1419" s="25" t="s">
        <v>360</v>
      </c>
      <c r="C1419" s="27" t="s">
        <v>2261</v>
      </c>
      <c r="D1419" s="26" t="s">
        <v>2262</v>
      </c>
      <c r="E1419" s="27" t="s">
        <v>453</v>
      </c>
      <c r="F1419" s="42"/>
    </row>
    <row r="1420" spans="2:6" x14ac:dyDescent="0.35">
      <c r="B1420" s="25" t="s">
        <v>360</v>
      </c>
      <c r="C1420" s="27" t="s">
        <v>2263</v>
      </c>
      <c r="D1420" s="26" t="s">
        <v>2099</v>
      </c>
      <c r="E1420" s="27" t="s">
        <v>453</v>
      </c>
      <c r="F1420" s="42"/>
    </row>
    <row r="1421" spans="2:6" x14ac:dyDescent="0.35">
      <c r="B1421" s="25" t="s">
        <v>360</v>
      </c>
      <c r="C1421" s="27" t="s">
        <v>2264</v>
      </c>
      <c r="D1421" s="26" t="s">
        <v>2136</v>
      </c>
      <c r="E1421" s="27" t="s">
        <v>453</v>
      </c>
      <c r="F1421" s="42"/>
    </row>
    <row r="1422" spans="2:6" x14ac:dyDescent="0.35">
      <c r="B1422" s="25" t="s">
        <v>360</v>
      </c>
      <c r="C1422" s="27" t="s">
        <v>2265</v>
      </c>
      <c r="D1422" s="26" t="s">
        <v>2266</v>
      </c>
      <c r="E1422" s="27" t="s">
        <v>453</v>
      </c>
      <c r="F1422" s="42"/>
    </row>
    <row r="1423" spans="2:6" x14ac:dyDescent="0.35">
      <c r="B1423" s="25" t="s">
        <v>360</v>
      </c>
      <c r="C1423" s="27" t="s">
        <v>2267</v>
      </c>
      <c r="D1423" s="26" t="s">
        <v>2176</v>
      </c>
      <c r="E1423" s="27" t="s">
        <v>453</v>
      </c>
      <c r="F1423" s="42"/>
    </row>
    <row r="1424" spans="2:6" x14ac:dyDescent="0.35">
      <c r="B1424" s="25" t="s">
        <v>360</v>
      </c>
      <c r="C1424" s="27" t="s">
        <v>2268</v>
      </c>
      <c r="D1424" s="26" t="s">
        <v>2196</v>
      </c>
      <c r="E1424" s="27" t="s">
        <v>453</v>
      </c>
      <c r="F1424" s="42"/>
    </row>
    <row r="1425" spans="2:6" x14ac:dyDescent="0.35">
      <c r="B1425" s="25" t="s">
        <v>360</v>
      </c>
      <c r="C1425" s="27" t="s">
        <v>2269</v>
      </c>
      <c r="D1425" s="26" t="s">
        <v>2217</v>
      </c>
      <c r="E1425" s="27" t="s">
        <v>453</v>
      </c>
      <c r="F1425" s="42"/>
    </row>
    <row r="1426" spans="2:6" x14ac:dyDescent="0.35">
      <c r="B1426" s="25" t="s">
        <v>360</v>
      </c>
      <c r="C1426" s="27" t="s">
        <v>2270</v>
      </c>
      <c r="D1426" s="26" t="s">
        <v>2238</v>
      </c>
      <c r="E1426" s="27" t="s">
        <v>453</v>
      </c>
      <c r="F1426" s="42"/>
    </row>
    <row r="1427" spans="2:6" x14ac:dyDescent="0.35">
      <c r="B1427" s="25" t="s">
        <v>360</v>
      </c>
      <c r="C1427" s="27" t="s">
        <v>2271</v>
      </c>
      <c r="D1427" s="26" t="s">
        <v>2272</v>
      </c>
      <c r="E1427" s="27" t="s">
        <v>453</v>
      </c>
      <c r="F1427" s="42"/>
    </row>
    <row r="1428" spans="2:6" x14ac:dyDescent="0.35">
      <c r="B1428" s="25" t="s">
        <v>360</v>
      </c>
      <c r="C1428" s="27" t="s">
        <v>2273</v>
      </c>
      <c r="D1428" s="26" t="s">
        <v>2138</v>
      </c>
      <c r="E1428" s="27" t="s">
        <v>453</v>
      </c>
      <c r="F1428" s="42"/>
    </row>
    <row r="1429" spans="2:6" x14ac:dyDescent="0.35">
      <c r="B1429" s="25" t="s">
        <v>360</v>
      </c>
      <c r="C1429" s="27" t="s">
        <v>2274</v>
      </c>
      <c r="D1429" s="26" t="s">
        <v>2275</v>
      </c>
      <c r="E1429" s="27" t="s">
        <v>453</v>
      </c>
      <c r="F1429" s="42"/>
    </row>
    <row r="1430" spans="2:6" x14ac:dyDescent="0.35">
      <c r="B1430" s="25" t="s">
        <v>360</v>
      </c>
      <c r="C1430" s="27" t="s">
        <v>2276</v>
      </c>
      <c r="D1430" s="26" t="s">
        <v>2178</v>
      </c>
      <c r="E1430" s="27" t="s">
        <v>453</v>
      </c>
      <c r="F1430" s="42"/>
    </row>
    <row r="1431" spans="2:6" x14ac:dyDescent="0.35">
      <c r="B1431" s="25" t="s">
        <v>360</v>
      </c>
      <c r="C1431" s="27" t="s">
        <v>2277</v>
      </c>
      <c r="D1431" s="26" t="s">
        <v>2198</v>
      </c>
      <c r="E1431" s="27" t="s">
        <v>453</v>
      </c>
      <c r="F1431" s="42"/>
    </row>
    <row r="1432" spans="2:6" x14ac:dyDescent="0.35">
      <c r="B1432" s="25" t="s">
        <v>360</v>
      </c>
      <c r="C1432" s="27" t="s">
        <v>2278</v>
      </c>
      <c r="D1432" s="26" t="s">
        <v>2279</v>
      </c>
      <c r="E1432" s="27" t="s">
        <v>453</v>
      </c>
      <c r="F1432" s="42"/>
    </row>
    <row r="1433" spans="2:6" x14ac:dyDescent="0.35">
      <c r="B1433" s="25" t="s">
        <v>360</v>
      </c>
      <c r="C1433" s="27" t="s">
        <v>2280</v>
      </c>
      <c r="D1433" s="26" t="s">
        <v>2281</v>
      </c>
      <c r="E1433" s="27" t="s">
        <v>453</v>
      </c>
      <c r="F1433" s="42"/>
    </row>
    <row r="1434" spans="2:6" x14ac:dyDescent="0.35">
      <c r="B1434" s="25" t="s">
        <v>360</v>
      </c>
      <c r="C1434" s="27" t="s">
        <v>2282</v>
      </c>
      <c r="D1434" s="26" t="s">
        <v>2283</v>
      </c>
      <c r="E1434" s="27" t="s">
        <v>453</v>
      </c>
      <c r="F1434" s="42"/>
    </row>
    <row r="1435" spans="2:6" x14ac:dyDescent="0.35">
      <c r="B1435" s="25" t="s">
        <v>360</v>
      </c>
      <c r="C1435" s="27" t="s">
        <v>2284</v>
      </c>
      <c r="D1435" s="26" t="s">
        <v>2140</v>
      </c>
      <c r="E1435" s="27" t="s">
        <v>453</v>
      </c>
      <c r="F1435" s="42"/>
    </row>
    <row r="1436" spans="2:6" x14ac:dyDescent="0.35">
      <c r="B1436" s="25" t="s">
        <v>360</v>
      </c>
      <c r="C1436" s="27" t="s">
        <v>2285</v>
      </c>
      <c r="D1436" s="26" t="s">
        <v>2167</v>
      </c>
      <c r="E1436" s="27" t="s">
        <v>453</v>
      </c>
      <c r="F1436" s="42"/>
    </row>
    <row r="1437" spans="2:6" x14ac:dyDescent="0.35">
      <c r="B1437" s="25" t="s">
        <v>360</v>
      </c>
      <c r="C1437" s="27" t="s">
        <v>2286</v>
      </c>
      <c r="D1437" s="26" t="s">
        <v>2180</v>
      </c>
      <c r="E1437" s="27" t="s">
        <v>453</v>
      </c>
      <c r="F1437" s="42"/>
    </row>
    <row r="1438" spans="2:6" x14ac:dyDescent="0.35">
      <c r="B1438" s="25" t="s">
        <v>360</v>
      </c>
      <c r="C1438" s="27" t="s">
        <v>2287</v>
      </c>
      <c r="D1438" s="26" t="s">
        <v>2288</v>
      </c>
      <c r="E1438" s="27" t="s">
        <v>453</v>
      </c>
      <c r="F1438" s="42"/>
    </row>
    <row r="1439" spans="2:6" x14ac:dyDescent="0.35">
      <c r="B1439" s="25" t="s">
        <v>360</v>
      </c>
      <c r="C1439" s="27" t="s">
        <v>2289</v>
      </c>
      <c r="D1439" s="26" t="s">
        <v>2290</v>
      </c>
      <c r="E1439" s="27" t="s">
        <v>453</v>
      </c>
      <c r="F1439" s="42"/>
    </row>
    <row r="1440" spans="2:6" x14ac:dyDescent="0.35">
      <c r="B1440" s="25" t="s">
        <v>360</v>
      </c>
      <c r="C1440" s="27" t="s">
        <v>2291</v>
      </c>
      <c r="D1440" s="26" t="s">
        <v>2242</v>
      </c>
      <c r="E1440" s="27" t="s">
        <v>453</v>
      </c>
      <c r="F1440" s="42"/>
    </row>
    <row r="1441" spans="2:6" x14ac:dyDescent="0.35">
      <c r="B1441" s="25" t="s">
        <v>360</v>
      </c>
      <c r="C1441" s="27" t="s">
        <v>2292</v>
      </c>
      <c r="D1441" s="26" t="s">
        <v>2105</v>
      </c>
      <c r="E1441" s="27" t="s">
        <v>453</v>
      </c>
      <c r="F1441" s="42"/>
    </row>
    <row r="1442" spans="2:6" x14ac:dyDescent="0.35">
      <c r="B1442" s="25" t="s">
        <v>360</v>
      </c>
      <c r="C1442" s="27" t="s">
        <v>2293</v>
      </c>
      <c r="D1442" s="26" t="s">
        <v>2142</v>
      </c>
      <c r="E1442" s="27" t="s">
        <v>453</v>
      </c>
      <c r="F1442" s="42"/>
    </row>
    <row r="1443" spans="2:6" x14ac:dyDescent="0.35">
      <c r="B1443" s="25" t="s">
        <v>360</v>
      </c>
      <c r="C1443" s="27" t="s">
        <v>2294</v>
      </c>
      <c r="D1443" s="26" t="s">
        <v>2295</v>
      </c>
      <c r="E1443" s="27" t="s">
        <v>453</v>
      </c>
      <c r="F1443" s="42"/>
    </row>
    <row r="1444" spans="2:6" x14ac:dyDescent="0.35">
      <c r="B1444" s="25" t="s">
        <v>360</v>
      </c>
      <c r="C1444" s="27" t="s">
        <v>2296</v>
      </c>
      <c r="D1444" s="26" t="s">
        <v>2182</v>
      </c>
      <c r="E1444" s="27" t="s">
        <v>453</v>
      </c>
      <c r="F1444" s="42"/>
    </row>
    <row r="1445" spans="2:6" x14ac:dyDescent="0.35">
      <c r="B1445" s="25" t="s">
        <v>360</v>
      </c>
      <c r="C1445" s="27" t="s">
        <v>2297</v>
      </c>
      <c r="D1445" s="26" t="s">
        <v>2202</v>
      </c>
      <c r="E1445" s="27" t="s">
        <v>453</v>
      </c>
      <c r="F1445" s="42"/>
    </row>
    <row r="1446" spans="2:6" x14ac:dyDescent="0.35">
      <c r="B1446" s="25" t="s">
        <v>360</v>
      </c>
      <c r="C1446" s="27" t="s">
        <v>2298</v>
      </c>
      <c r="D1446" s="26" t="s">
        <v>2223</v>
      </c>
      <c r="E1446" s="27" t="s">
        <v>453</v>
      </c>
      <c r="F1446" s="42"/>
    </row>
    <row r="1447" spans="2:6" x14ac:dyDescent="0.35">
      <c r="B1447" s="25" t="s">
        <v>360</v>
      </c>
      <c r="C1447" s="27" t="s">
        <v>2299</v>
      </c>
      <c r="D1447" s="26" t="s">
        <v>2244</v>
      </c>
      <c r="E1447" s="27" t="s">
        <v>453</v>
      </c>
      <c r="F1447" s="42"/>
    </row>
    <row r="1448" spans="2:6" x14ac:dyDescent="0.35">
      <c r="B1448" s="25" t="s">
        <v>360</v>
      </c>
      <c r="C1448" s="27" t="s">
        <v>2300</v>
      </c>
      <c r="D1448" s="26" t="s">
        <v>2301</v>
      </c>
      <c r="E1448" s="27" t="s">
        <v>453</v>
      </c>
      <c r="F1448" s="42"/>
    </row>
    <row r="1449" spans="2:6" x14ac:dyDescent="0.35">
      <c r="B1449" s="25" t="s">
        <v>360</v>
      </c>
      <c r="C1449" s="27" t="s">
        <v>2302</v>
      </c>
      <c r="D1449" s="26" t="s">
        <v>2144</v>
      </c>
      <c r="E1449" s="27" t="s">
        <v>453</v>
      </c>
      <c r="F1449" s="42"/>
    </row>
    <row r="1450" spans="2:6" x14ac:dyDescent="0.35">
      <c r="B1450" s="25" t="s">
        <v>360</v>
      </c>
      <c r="C1450" s="27" t="s">
        <v>2303</v>
      </c>
      <c r="D1450" s="26" t="s">
        <v>2180</v>
      </c>
      <c r="E1450" s="27" t="s">
        <v>453</v>
      </c>
      <c r="F1450" s="42"/>
    </row>
    <row r="1451" spans="2:6" x14ac:dyDescent="0.35">
      <c r="B1451" s="25" t="s">
        <v>360</v>
      </c>
      <c r="C1451" s="27" t="s">
        <v>2304</v>
      </c>
      <c r="D1451" s="26" t="s">
        <v>2305</v>
      </c>
      <c r="E1451" s="27" t="s">
        <v>453</v>
      </c>
      <c r="F1451" s="42"/>
    </row>
    <row r="1452" spans="2:6" x14ac:dyDescent="0.35">
      <c r="B1452" s="25" t="s">
        <v>360</v>
      </c>
      <c r="C1452" s="27" t="s">
        <v>2306</v>
      </c>
      <c r="D1452" s="26" t="s">
        <v>2307</v>
      </c>
      <c r="E1452" s="27" t="s">
        <v>453</v>
      </c>
      <c r="F1452" s="42"/>
    </row>
    <row r="1453" spans="2:6" x14ac:dyDescent="0.35">
      <c r="B1453" s="25" t="s">
        <v>360</v>
      </c>
      <c r="C1453" s="27" t="s">
        <v>2308</v>
      </c>
      <c r="D1453" s="26" t="s">
        <v>2225</v>
      </c>
      <c r="E1453" s="27" t="s">
        <v>453</v>
      </c>
      <c r="F1453" s="42"/>
    </row>
    <row r="1454" spans="2:6" x14ac:dyDescent="0.35">
      <c r="B1454" s="25" t="s">
        <v>360</v>
      </c>
      <c r="C1454" s="27" t="s">
        <v>2309</v>
      </c>
      <c r="D1454" s="26" t="s">
        <v>2310</v>
      </c>
      <c r="E1454" s="27" t="s">
        <v>453</v>
      </c>
      <c r="F1454" s="42"/>
    </row>
    <row r="1455" spans="2:6" x14ac:dyDescent="0.35">
      <c r="B1455" s="25" t="s">
        <v>360</v>
      </c>
      <c r="C1455" s="27" t="s">
        <v>2311</v>
      </c>
      <c r="D1455" s="26" t="s">
        <v>2312</v>
      </c>
      <c r="E1455" s="27" t="s">
        <v>453</v>
      </c>
      <c r="F1455" s="42"/>
    </row>
    <row r="1456" spans="2:6" x14ac:dyDescent="0.35">
      <c r="B1456" s="25" t="s">
        <v>360</v>
      </c>
      <c r="C1456" s="27" t="s">
        <v>2313</v>
      </c>
      <c r="D1456" s="26" t="s">
        <v>2314</v>
      </c>
      <c r="E1456" s="27" t="s">
        <v>453</v>
      </c>
      <c r="F1456" s="42"/>
    </row>
    <row r="1457" spans="2:6" x14ac:dyDescent="0.35">
      <c r="B1457" s="25" t="s">
        <v>360</v>
      </c>
      <c r="C1457" s="27" t="s">
        <v>2315</v>
      </c>
      <c r="D1457" s="26" t="s">
        <v>2316</v>
      </c>
      <c r="E1457" s="27" t="s">
        <v>453</v>
      </c>
      <c r="F1457" s="42"/>
    </row>
    <row r="1458" spans="2:6" x14ac:dyDescent="0.35">
      <c r="B1458" s="25" t="s">
        <v>360</v>
      </c>
      <c r="C1458" s="27" t="s">
        <v>2317</v>
      </c>
      <c r="D1458" s="26" t="s">
        <v>2206</v>
      </c>
      <c r="E1458" s="27" t="s">
        <v>453</v>
      </c>
      <c r="F1458" s="42"/>
    </row>
    <row r="1459" spans="2:6" x14ac:dyDescent="0.35">
      <c r="B1459" s="25" t="s">
        <v>360</v>
      </c>
      <c r="C1459" s="27" t="s">
        <v>2318</v>
      </c>
      <c r="D1459" s="26" t="s">
        <v>2319</v>
      </c>
      <c r="E1459" s="27" t="s">
        <v>453</v>
      </c>
      <c r="F1459" s="42"/>
    </row>
    <row r="1460" spans="2:6" x14ac:dyDescent="0.35">
      <c r="B1460" s="25" t="s">
        <v>360</v>
      </c>
      <c r="C1460" s="27" t="s">
        <v>2320</v>
      </c>
      <c r="D1460" s="26" t="s">
        <v>2111</v>
      </c>
      <c r="E1460" s="27" t="s">
        <v>453</v>
      </c>
      <c r="F1460" s="42"/>
    </row>
    <row r="1461" spans="2:6" x14ac:dyDescent="0.35">
      <c r="B1461" s="25" t="s">
        <v>360</v>
      </c>
      <c r="C1461" s="27" t="s">
        <v>2321</v>
      </c>
      <c r="D1461" s="26" t="s">
        <v>2148</v>
      </c>
      <c r="E1461" s="27" t="s">
        <v>453</v>
      </c>
      <c r="F1461" s="42"/>
    </row>
    <row r="1462" spans="2:6" x14ac:dyDescent="0.35">
      <c r="B1462" s="25" t="s">
        <v>360</v>
      </c>
      <c r="C1462" s="27" t="s">
        <v>2322</v>
      </c>
      <c r="D1462" s="26" t="s">
        <v>2188</v>
      </c>
      <c r="E1462" s="27" t="s">
        <v>453</v>
      </c>
      <c r="F1462" s="42"/>
    </row>
    <row r="1463" spans="2:6" x14ac:dyDescent="0.35">
      <c r="B1463" s="25" t="s">
        <v>360</v>
      </c>
      <c r="C1463" s="27" t="s">
        <v>2323</v>
      </c>
      <c r="D1463" s="26" t="s">
        <v>2324</v>
      </c>
      <c r="E1463" s="27" t="s">
        <v>453</v>
      </c>
      <c r="F1463" s="42"/>
    </row>
    <row r="1464" spans="2:6" x14ac:dyDescent="0.35">
      <c r="B1464" s="25" t="s">
        <v>360</v>
      </c>
      <c r="C1464" s="27" t="s">
        <v>2325</v>
      </c>
      <c r="D1464" s="26" t="s">
        <v>2229</v>
      </c>
      <c r="E1464" s="27" t="s">
        <v>453</v>
      </c>
      <c r="F1464" s="42"/>
    </row>
    <row r="1465" spans="2:6" x14ac:dyDescent="0.35">
      <c r="B1465" s="25" t="s">
        <v>360</v>
      </c>
      <c r="C1465" s="27" t="s">
        <v>2326</v>
      </c>
      <c r="D1465" s="26" t="s">
        <v>2113</v>
      </c>
      <c r="E1465" s="27" t="s">
        <v>453</v>
      </c>
      <c r="F1465" s="42"/>
    </row>
    <row r="1466" spans="2:6" x14ac:dyDescent="0.35">
      <c r="B1466" s="25" t="s">
        <v>360</v>
      </c>
      <c r="C1466" s="27" t="s">
        <v>2327</v>
      </c>
      <c r="D1466" s="26" t="s">
        <v>2328</v>
      </c>
      <c r="E1466" s="27" t="s">
        <v>453</v>
      </c>
      <c r="F1466" s="42"/>
    </row>
    <row r="1467" spans="2:6" x14ac:dyDescent="0.35">
      <c r="B1467" s="25" t="s">
        <v>360</v>
      </c>
      <c r="C1467" s="27" t="s">
        <v>2329</v>
      </c>
      <c r="D1467" s="26" t="s">
        <v>2330</v>
      </c>
      <c r="E1467" s="27" t="s">
        <v>453</v>
      </c>
      <c r="F1467" s="42"/>
    </row>
    <row r="1468" spans="2:6" x14ac:dyDescent="0.35">
      <c r="B1468" s="25" t="s">
        <v>360</v>
      </c>
      <c r="C1468" s="27" t="s">
        <v>2331</v>
      </c>
      <c r="D1468" s="26" t="s">
        <v>2210</v>
      </c>
      <c r="E1468" s="27" t="s">
        <v>453</v>
      </c>
      <c r="F1468" s="42"/>
    </row>
    <row r="1469" spans="2:6" x14ac:dyDescent="0.35">
      <c r="B1469" s="25" t="s">
        <v>360</v>
      </c>
      <c r="C1469" s="27" t="s">
        <v>2332</v>
      </c>
      <c r="D1469" s="26" t="s">
        <v>2333</v>
      </c>
      <c r="E1469" s="27" t="s">
        <v>453</v>
      </c>
      <c r="F1469" s="42"/>
    </row>
    <row r="1470" spans="2:6" x14ac:dyDescent="0.35">
      <c r="B1470" s="25" t="s">
        <v>360</v>
      </c>
      <c r="C1470" s="27" t="s">
        <v>2334</v>
      </c>
      <c r="D1470" s="26" t="s">
        <v>2182</v>
      </c>
      <c r="E1470" s="27" t="s">
        <v>453</v>
      </c>
      <c r="F1470" s="42"/>
    </row>
    <row r="1471" spans="2:6" x14ac:dyDescent="0.35">
      <c r="B1471" s="25" t="s">
        <v>360</v>
      </c>
      <c r="C1471" s="27" t="s">
        <v>2335</v>
      </c>
      <c r="D1471" s="26" t="s">
        <v>2152</v>
      </c>
      <c r="E1471" s="27" t="s">
        <v>453</v>
      </c>
      <c r="F1471" s="42"/>
    </row>
    <row r="1472" spans="2:6" x14ac:dyDescent="0.35">
      <c r="B1472" s="25" t="s">
        <v>360</v>
      </c>
      <c r="C1472" s="27" t="s">
        <v>2336</v>
      </c>
      <c r="D1472" s="26" t="s">
        <v>2212</v>
      </c>
      <c r="E1472" s="27" t="s">
        <v>453</v>
      </c>
      <c r="F1472" s="42"/>
    </row>
    <row r="1473" spans="2:6" x14ac:dyDescent="0.35">
      <c r="B1473" s="25" t="s">
        <v>360</v>
      </c>
      <c r="C1473" s="27" t="s">
        <v>2337</v>
      </c>
      <c r="D1473" s="26" t="s">
        <v>2338</v>
      </c>
      <c r="E1473" s="27" t="s">
        <v>453</v>
      </c>
      <c r="F1473" s="42"/>
    </row>
    <row r="1474" spans="2:6" x14ac:dyDescent="0.35">
      <c r="B1474" s="25" t="s">
        <v>360</v>
      </c>
      <c r="C1474" s="27" t="s">
        <v>2339</v>
      </c>
      <c r="D1474" s="26" t="s">
        <v>2340</v>
      </c>
      <c r="E1474" s="27" t="s">
        <v>453</v>
      </c>
      <c r="F1474" s="42"/>
    </row>
    <row r="1475" spans="2:6" x14ac:dyDescent="0.35">
      <c r="B1475" s="25" t="s">
        <v>360</v>
      </c>
      <c r="C1475" s="27" t="s">
        <v>2341</v>
      </c>
      <c r="D1475" s="26" t="s">
        <v>2342</v>
      </c>
      <c r="E1475" s="27" t="s">
        <v>453</v>
      </c>
      <c r="F1475" s="42"/>
    </row>
    <row r="1476" spans="2:6" x14ac:dyDescent="0.35">
      <c r="B1476" s="25" t="s">
        <v>360</v>
      </c>
      <c r="C1476" s="27" t="s">
        <v>2343</v>
      </c>
      <c r="D1476" s="26" t="s">
        <v>2344</v>
      </c>
      <c r="E1476" s="27" t="s">
        <v>453</v>
      </c>
      <c r="F1476" s="42"/>
    </row>
    <row r="1477" spans="2:6" x14ac:dyDescent="0.35">
      <c r="B1477" s="25" t="s">
        <v>360</v>
      </c>
      <c r="C1477" s="27" t="s">
        <v>2345</v>
      </c>
      <c r="D1477" s="26" t="s">
        <v>2156</v>
      </c>
      <c r="E1477" s="27" t="s">
        <v>453</v>
      </c>
      <c r="F1477" s="42"/>
    </row>
    <row r="1478" spans="2:6" x14ac:dyDescent="0.35">
      <c r="B1478" s="25" t="s">
        <v>360</v>
      </c>
      <c r="C1478" s="27" t="s">
        <v>2346</v>
      </c>
      <c r="D1478" s="26" t="s">
        <v>2347</v>
      </c>
      <c r="E1478" s="27" t="s">
        <v>453</v>
      </c>
      <c r="F1478" s="42"/>
    </row>
    <row r="1479" spans="2:6" x14ac:dyDescent="0.35">
      <c r="B1479" s="25" t="s">
        <v>360</v>
      </c>
      <c r="C1479" s="27" t="s">
        <v>2348</v>
      </c>
      <c r="D1479" s="26" t="s">
        <v>2158</v>
      </c>
      <c r="E1479" s="27" t="s">
        <v>453</v>
      </c>
      <c r="F1479" s="42"/>
    </row>
    <row r="1480" spans="2:6" x14ac:dyDescent="0.35">
      <c r="B1480" s="25" t="s">
        <v>360</v>
      </c>
      <c r="C1480" s="27" t="s">
        <v>2349</v>
      </c>
      <c r="D1480" s="26" t="s">
        <v>2312</v>
      </c>
      <c r="E1480" s="27" t="s">
        <v>453</v>
      </c>
      <c r="F1480" s="42"/>
    </row>
    <row r="1481" spans="2:6" x14ac:dyDescent="0.35">
      <c r="B1481" s="25" t="s">
        <v>360</v>
      </c>
      <c r="C1481" s="27" t="s">
        <v>2350</v>
      </c>
      <c r="D1481" s="26" t="s">
        <v>2180</v>
      </c>
      <c r="E1481" s="27" t="s">
        <v>453</v>
      </c>
      <c r="F1481" s="42"/>
    </row>
    <row r="1482" spans="2:6" x14ac:dyDescent="0.35">
      <c r="B1482" s="25" t="s">
        <v>360</v>
      </c>
      <c r="C1482" s="27" t="s">
        <v>2351</v>
      </c>
      <c r="D1482" s="26" t="s">
        <v>2188</v>
      </c>
      <c r="E1482" s="27" t="s">
        <v>453</v>
      </c>
      <c r="F1482" s="42"/>
    </row>
    <row r="1483" spans="2:6" x14ac:dyDescent="0.35">
      <c r="B1483" s="25" t="s">
        <v>360</v>
      </c>
      <c r="C1483" s="27" t="s">
        <v>2352</v>
      </c>
      <c r="D1483" s="26" t="s">
        <v>2353</v>
      </c>
      <c r="E1483" s="27" t="s">
        <v>453</v>
      </c>
      <c r="F1483" s="42"/>
    </row>
    <row r="1484" spans="2:6" x14ac:dyDescent="0.35">
      <c r="B1484" s="25" t="s">
        <v>360</v>
      </c>
      <c r="C1484" s="27" t="s">
        <v>2354</v>
      </c>
      <c r="D1484" s="26" t="s">
        <v>2355</v>
      </c>
      <c r="E1484" s="27" t="s">
        <v>453</v>
      </c>
      <c r="F1484" s="42"/>
    </row>
    <row r="1485" spans="2:6" x14ac:dyDescent="0.35">
      <c r="B1485" s="25" t="s">
        <v>360</v>
      </c>
      <c r="C1485" s="27" t="s">
        <v>2356</v>
      </c>
      <c r="D1485" s="26" t="s">
        <v>2129</v>
      </c>
      <c r="E1485" s="27" t="s">
        <v>453</v>
      </c>
      <c r="F1485" s="42"/>
    </row>
    <row r="1486" spans="2:6" x14ac:dyDescent="0.35">
      <c r="B1486" s="25" t="s">
        <v>360</v>
      </c>
      <c r="C1486" s="27" t="s">
        <v>2357</v>
      </c>
      <c r="D1486" s="26" t="s">
        <v>2358</v>
      </c>
      <c r="E1486" s="27" t="s">
        <v>453</v>
      </c>
      <c r="F1486" s="42"/>
    </row>
    <row r="1487" spans="2:6" x14ac:dyDescent="0.35">
      <c r="B1487" s="25" t="s">
        <v>360</v>
      </c>
      <c r="C1487" s="27" t="s">
        <v>2359</v>
      </c>
      <c r="D1487" s="26" t="s">
        <v>2188</v>
      </c>
      <c r="E1487" s="27" t="s">
        <v>453</v>
      </c>
      <c r="F1487" s="42"/>
    </row>
    <row r="1488" spans="2:6" x14ac:dyDescent="0.35">
      <c r="B1488" s="25" t="s">
        <v>360</v>
      </c>
      <c r="C1488" s="27" t="s">
        <v>2360</v>
      </c>
      <c r="D1488" s="26" t="s">
        <v>2361</v>
      </c>
      <c r="E1488" s="27" t="s">
        <v>453</v>
      </c>
      <c r="F1488" s="42"/>
    </row>
    <row r="1489" spans="2:6" x14ac:dyDescent="0.35">
      <c r="B1489" s="25" t="s">
        <v>360</v>
      </c>
      <c r="C1489" s="27" t="s">
        <v>2362</v>
      </c>
      <c r="D1489" s="26" t="s">
        <v>2089</v>
      </c>
      <c r="E1489" s="27" t="s">
        <v>453</v>
      </c>
      <c r="F1489" s="42"/>
    </row>
    <row r="1490" spans="2:6" x14ac:dyDescent="0.35">
      <c r="B1490" s="25" t="s">
        <v>360</v>
      </c>
      <c r="C1490" s="27" t="s">
        <v>2363</v>
      </c>
      <c r="D1490" s="26" t="s">
        <v>2364</v>
      </c>
      <c r="E1490" s="27" t="s">
        <v>453</v>
      </c>
      <c r="F1490" s="42"/>
    </row>
    <row r="1491" spans="2:6" x14ac:dyDescent="0.35">
      <c r="B1491" s="25" t="s">
        <v>360</v>
      </c>
      <c r="C1491" s="27" t="s">
        <v>2365</v>
      </c>
      <c r="D1491" s="26" t="s">
        <v>2366</v>
      </c>
      <c r="E1491" s="27" t="s">
        <v>453</v>
      </c>
      <c r="F1491" s="42"/>
    </row>
    <row r="1492" spans="2:6" x14ac:dyDescent="0.35">
      <c r="B1492" s="25" t="s">
        <v>360</v>
      </c>
      <c r="C1492" s="27" t="s">
        <v>2367</v>
      </c>
      <c r="D1492" s="26" t="s">
        <v>2368</v>
      </c>
      <c r="E1492" s="27" t="s">
        <v>453</v>
      </c>
      <c r="F1492" s="42"/>
    </row>
    <row r="1493" spans="2:6" x14ac:dyDescent="0.35">
      <c r="B1493" s="25" t="s">
        <v>360</v>
      </c>
      <c r="C1493" s="27" t="s">
        <v>2369</v>
      </c>
      <c r="D1493" s="26" t="s">
        <v>2370</v>
      </c>
      <c r="E1493" s="27" t="s">
        <v>453</v>
      </c>
      <c r="F1493" s="42"/>
    </row>
    <row r="1494" spans="2:6" x14ac:dyDescent="0.35">
      <c r="B1494" s="25" t="s">
        <v>360</v>
      </c>
      <c r="C1494" s="27" t="s">
        <v>2371</v>
      </c>
      <c r="D1494" s="26" t="s">
        <v>2372</v>
      </c>
      <c r="E1494" s="27" t="s">
        <v>453</v>
      </c>
      <c r="F1494" s="42"/>
    </row>
    <row r="1495" spans="2:6" x14ac:dyDescent="0.35">
      <c r="B1495" s="25" t="s">
        <v>360</v>
      </c>
      <c r="C1495" s="27" t="s">
        <v>2373</v>
      </c>
      <c r="D1495" s="26" t="s">
        <v>2305</v>
      </c>
      <c r="E1495" s="27" t="s">
        <v>453</v>
      </c>
      <c r="F1495" s="42"/>
    </row>
    <row r="1496" spans="2:6" x14ac:dyDescent="0.35">
      <c r="B1496" s="25" t="s">
        <v>360</v>
      </c>
      <c r="C1496" s="27" t="s">
        <v>2374</v>
      </c>
      <c r="D1496" s="26" t="s">
        <v>2272</v>
      </c>
      <c r="E1496" s="27" t="s">
        <v>453</v>
      </c>
      <c r="F1496" s="42"/>
    </row>
    <row r="1497" spans="2:6" x14ac:dyDescent="0.35">
      <c r="B1497" s="25" t="s">
        <v>360</v>
      </c>
      <c r="C1497" s="27" t="s">
        <v>2375</v>
      </c>
      <c r="D1497" s="26" t="s">
        <v>2272</v>
      </c>
      <c r="E1497" s="27" t="s">
        <v>453</v>
      </c>
      <c r="F1497" s="42"/>
    </row>
    <row r="1498" spans="2:6" x14ac:dyDescent="0.35">
      <c r="B1498" s="25" t="s">
        <v>360</v>
      </c>
      <c r="C1498" s="27" t="s">
        <v>2376</v>
      </c>
      <c r="D1498" s="26" t="s">
        <v>2312</v>
      </c>
      <c r="E1498" s="27" t="s">
        <v>453</v>
      </c>
      <c r="F1498" s="42"/>
    </row>
    <row r="1499" spans="2:6" x14ac:dyDescent="0.35">
      <c r="B1499" s="25" t="s">
        <v>360</v>
      </c>
      <c r="C1499" s="27" t="s">
        <v>2377</v>
      </c>
      <c r="D1499" s="26" t="s">
        <v>2378</v>
      </c>
      <c r="E1499" s="27" t="s">
        <v>453</v>
      </c>
      <c r="F1499" s="42"/>
    </row>
    <row r="1500" spans="2:6" x14ac:dyDescent="0.35">
      <c r="B1500" s="25" t="s">
        <v>360</v>
      </c>
      <c r="C1500" s="27" t="s">
        <v>2379</v>
      </c>
      <c r="D1500" s="26" t="s">
        <v>2380</v>
      </c>
      <c r="E1500" s="27" t="s">
        <v>453</v>
      </c>
      <c r="F1500" s="42"/>
    </row>
    <row r="1501" spans="2:6" x14ac:dyDescent="0.35">
      <c r="B1501" s="25" t="s">
        <v>360</v>
      </c>
      <c r="C1501" s="27" t="s">
        <v>2381</v>
      </c>
      <c r="D1501" s="26" t="s">
        <v>2165</v>
      </c>
      <c r="E1501" s="27" t="s">
        <v>453</v>
      </c>
      <c r="F1501" s="42"/>
    </row>
    <row r="1502" spans="2:6" x14ac:dyDescent="0.35">
      <c r="B1502" s="25" t="s">
        <v>360</v>
      </c>
      <c r="C1502" s="27" t="s">
        <v>2382</v>
      </c>
      <c r="D1502" s="26" t="s">
        <v>2383</v>
      </c>
      <c r="E1502" s="27" t="s">
        <v>453</v>
      </c>
      <c r="F1502" s="42"/>
    </row>
    <row r="1503" spans="2:6" x14ac:dyDescent="0.35">
      <c r="B1503" s="25" t="s">
        <v>360</v>
      </c>
      <c r="C1503" s="27" t="s">
        <v>2384</v>
      </c>
      <c r="D1503" s="26" t="s">
        <v>2182</v>
      </c>
      <c r="E1503" s="27" t="s">
        <v>453</v>
      </c>
      <c r="F1503" s="42"/>
    </row>
    <row r="1504" spans="2:6" x14ac:dyDescent="0.35">
      <c r="B1504" s="25" t="s">
        <v>360</v>
      </c>
      <c r="C1504" s="27" t="s">
        <v>2385</v>
      </c>
      <c r="D1504" s="26" t="s">
        <v>2386</v>
      </c>
      <c r="E1504" s="27" t="s">
        <v>453</v>
      </c>
      <c r="F1504" s="42"/>
    </row>
    <row r="1505" spans="2:6" x14ac:dyDescent="0.35">
      <c r="B1505" s="25" t="s">
        <v>360</v>
      </c>
      <c r="C1505" s="27" t="s">
        <v>2387</v>
      </c>
      <c r="D1505" s="26" t="s">
        <v>2347</v>
      </c>
      <c r="E1505" s="27" t="s">
        <v>453</v>
      </c>
      <c r="F1505" s="42"/>
    </row>
    <row r="1506" spans="2:6" x14ac:dyDescent="0.35">
      <c r="B1506" s="25" t="s">
        <v>360</v>
      </c>
      <c r="C1506" s="27" t="s">
        <v>2388</v>
      </c>
      <c r="D1506" s="26" t="s">
        <v>2389</v>
      </c>
      <c r="E1506" s="27" t="s">
        <v>453</v>
      </c>
      <c r="F1506" s="42"/>
    </row>
    <row r="1507" spans="2:6" x14ac:dyDescent="0.35">
      <c r="B1507" s="25" t="s">
        <v>360</v>
      </c>
      <c r="C1507" s="27" t="s">
        <v>2390</v>
      </c>
      <c r="D1507" s="26" t="s">
        <v>2391</v>
      </c>
      <c r="E1507" s="27" t="s">
        <v>453</v>
      </c>
      <c r="F1507" s="42"/>
    </row>
    <row r="1508" spans="2:6" x14ac:dyDescent="0.35">
      <c r="B1508" s="25" t="s">
        <v>360</v>
      </c>
      <c r="C1508" s="27" t="s">
        <v>2392</v>
      </c>
      <c r="D1508" s="26" t="s">
        <v>2393</v>
      </c>
      <c r="E1508" s="27" t="s">
        <v>453</v>
      </c>
      <c r="F1508" s="42"/>
    </row>
    <row r="1509" spans="2:6" x14ac:dyDescent="0.35">
      <c r="B1509" s="25" t="s">
        <v>360</v>
      </c>
      <c r="C1509" s="27" t="s">
        <v>2394</v>
      </c>
      <c r="D1509" s="26" t="s">
        <v>2395</v>
      </c>
      <c r="E1509" s="27" t="s">
        <v>453</v>
      </c>
      <c r="F1509" s="42"/>
    </row>
    <row r="1510" spans="2:6" x14ac:dyDescent="0.35">
      <c r="B1510" s="25" t="s">
        <v>360</v>
      </c>
      <c r="C1510" s="27" t="s">
        <v>2396</v>
      </c>
      <c r="D1510" s="26" t="s">
        <v>2397</v>
      </c>
      <c r="E1510" s="27" t="s">
        <v>453</v>
      </c>
      <c r="F1510" s="42"/>
    </row>
    <row r="1511" spans="2:6" x14ac:dyDescent="0.35">
      <c r="B1511" s="25" t="s">
        <v>360</v>
      </c>
      <c r="C1511" s="27" t="s">
        <v>2398</v>
      </c>
      <c r="D1511" s="26" t="s">
        <v>2399</v>
      </c>
      <c r="E1511" s="27" t="s">
        <v>453</v>
      </c>
      <c r="F1511" s="42"/>
    </row>
    <row r="1512" spans="2:6" x14ac:dyDescent="0.35">
      <c r="B1512" s="25" t="s">
        <v>360</v>
      </c>
      <c r="C1512" s="27" t="s">
        <v>2400</v>
      </c>
      <c r="D1512" s="26" t="s">
        <v>2312</v>
      </c>
      <c r="E1512" s="27" t="s">
        <v>453</v>
      </c>
      <c r="F1512" s="42"/>
    </row>
    <row r="1513" spans="2:6" x14ac:dyDescent="0.35">
      <c r="B1513" s="25" t="s">
        <v>360</v>
      </c>
      <c r="C1513" s="27" t="s">
        <v>2401</v>
      </c>
      <c r="D1513" s="26" t="s">
        <v>2402</v>
      </c>
      <c r="E1513" s="27" t="s">
        <v>453</v>
      </c>
      <c r="F1513" s="42"/>
    </row>
    <row r="1514" spans="2:6" x14ac:dyDescent="0.35">
      <c r="B1514" s="25" t="s">
        <v>360</v>
      </c>
      <c r="C1514" s="27" t="s">
        <v>2403</v>
      </c>
      <c r="D1514" s="26" t="s">
        <v>2164</v>
      </c>
      <c r="E1514" s="27" t="s">
        <v>453</v>
      </c>
      <c r="F1514" s="42"/>
    </row>
    <row r="1515" spans="2:6" x14ac:dyDescent="0.35">
      <c r="B1515" s="25" t="s">
        <v>360</v>
      </c>
      <c r="C1515" s="27" t="s">
        <v>2404</v>
      </c>
      <c r="D1515" s="26" t="s">
        <v>2405</v>
      </c>
      <c r="E1515" s="27" t="s">
        <v>453</v>
      </c>
      <c r="F1515" s="42"/>
    </row>
    <row r="1516" spans="2:6" x14ac:dyDescent="0.35">
      <c r="B1516" s="25" t="s">
        <v>360</v>
      </c>
      <c r="C1516" s="27" t="s">
        <v>2406</v>
      </c>
      <c r="D1516" s="26" t="s">
        <v>2407</v>
      </c>
      <c r="E1516" s="27" t="s">
        <v>453</v>
      </c>
      <c r="F1516" s="42"/>
    </row>
    <row r="1517" spans="2:6" x14ac:dyDescent="0.35">
      <c r="B1517" s="25" t="s">
        <v>360</v>
      </c>
      <c r="C1517" s="27" t="s">
        <v>2408</v>
      </c>
      <c r="D1517" s="26" t="s">
        <v>2409</v>
      </c>
      <c r="E1517" s="27" t="s">
        <v>453</v>
      </c>
      <c r="F1517" s="42"/>
    </row>
    <row r="1518" spans="2:6" x14ac:dyDescent="0.35">
      <c r="B1518" s="25" t="s">
        <v>360</v>
      </c>
      <c r="C1518" s="27" t="s">
        <v>2410</v>
      </c>
      <c r="D1518" s="26" t="s">
        <v>2411</v>
      </c>
      <c r="E1518" s="27" t="s">
        <v>453</v>
      </c>
      <c r="F1518" s="42"/>
    </row>
    <row r="1519" spans="2:6" x14ac:dyDescent="0.35">
      <c r="B1519" s="25" t="s">
        <v>360</v>
      </c>
      <c r="C1519" s="27" t="s">
        <v>2412</v>
      </c>
      <c r="D1519" s="26" t="s">
        <v>2413</v>
      </c>
      <c r="E1519" s="27" t="s">
        <v>453</v>
      </c>
      <c r="F1519" s="42"/>
    </row>
    <row r="1520" spans="2:6" x14ac:dyDescent="0.35">
      <c r="B1520" s="25" t="s">
        <v>360</v>
      </c>
      <c r="C1520" s="27" t="s">
        <v>2414</v>
      </c>
      <c r="D1520" s="26" t="s">
        <v>2415</v>
      </c>
      <c r="E1520" s="27" t="s">
        <v>453</v>
      </c>
      <c r="F1520" s="42"/>
    </row>
    <row r="1521" spans="2:6" x14ac:dyDescent="0.35">
      <c r="B1521" s="25" t="s">
        <v>360</v>
      </c>
      <c r="C1521" s="27" t="s">
        <v>2416</v>
      </c>
      <c r="D1521" s="26" t="s">
        <v>2417</v>
      </c>
      <c r="E1521" s="27" t="s">
        <v>453</v>
      </c>
      <c r="F1521" s="42"/>
    </row>
    <row r="1522" spans="2:6" x14ac:dyDescent="0.35">
      <c r="B1522" s="25" t="s">
        <v>360</v>
      </c>
      <c r="C1522" s="27" t="s">
        <v>2418</v>
      </c>
      <c r="D1522" s="26" t="s">
        <v>2419</v>
      </c>
      <c r="E1522" s="27" t="s">
        <v>453</v>
      </c>
      <c r="F1522" s="42"/>
    </row>
    <row r="1523" spans="2:6" x14ac:dyDescent="0.35">
      <c r="B1523" s="25" t="s">
        <v>360</v>
      </c>
      <c r="C1523" s="27" t="s">
        <v>2420</v>
      </c>
      <c r="D1523" s="26" t="s">
        <v>2421</v>
      </c>
      <c r="E1523" s="27" t="s">
        <v>453</v>
      </c>
      <c r="F1523" s="42"/>
    </row>
    <row r="1524" spans="2:6" x14ac:dyDescent="0.35">
      <c r="B1524" s="25" t="s">
        <v>360</v>
      </c>
      <c r="C1524" s="27" t="s">
        <v>2422</v>
      </c>
      <c r="D1524" s="26" t="s">
        <v>2383</v>
      </c>
      <c r="E1524" s="27" t="s">
        <v>453</v>
      </c>
      <c r="F1524" s="42"/>
    </row>
    <row r="1525" spans="2:6" x14ac:dyDescent="0.35">
      <c r="B1525" s="25" t="s">
        <v>360</v>
      </c>
      <c r="C1525" s="27" t="s">
        <v>2423</v>
      </c>
      <c r="D1525" s="26" t="s">
        <v>2424</v>
      </c>
      <c r="E1525" s="27" t="s">
        <v>453</v>
      </c>
      <c r="F1525" s="42"/>
    </row>
    <row r="1526" spans="2:6" x14ac:dyDescent="0.35">
      <c r="B1526" s="25" t="s">
        <v>360</v>
      </c>
      <c r="C1526" s="27" t="s">
        <v>2425</v>
      </c>
      <c r="D1526" s="26" t="s">
        <v>2089</v>
      </c>
      <c r="E1526" s="27" t="s">
        <v>453</v>
      </c>
      <c r="F1526" s="42"/>
    </row>
    <row r="1527" spans="2:6" x14ac:dyDescent="0.35">
      <c r="B1527" s="25" t="s">
        <v>360</v>
      </c>
      <c r="C1527" s="27" t="s">
        <v>2426</v>
      </c>
      <c r="D1527" s="26" t="s">
        <v>2415</v>
      </c>
      <c r="E1527" s="27" t="s">
        <v>453</v>
      </c>
      <c r="F1527" s="42"/>
    </row>
    <row r="1528" spans="2:6" x14ac:dyDescent="0.35">
      <c r="B1528" s="25" t="s">
        <v>360</v>
      </c>
      <c r="C1528" s="27" t="s">
        <v>2427</v>
      </c>
      <c r="D1528" s="26" t="s">
        <v>2428</v>
      </c>
      <c r="E1528" s="27" t="s">
        <v>453</v>
      </c>
      <c r="F1528" s="42"/>
    </row>
    <row r="1529" spans="2:6" x14ac:dyDescent="0.35">
      <c r="B1529" s="25" t="s">
        <v>360</v>
      </c>
      <c r="C1529" s="27" t="s">
        <v>2429</v>
      </c>
      <c r="D1529" s="26" t="s">
        <v>2366</v>
      </c>
      <c r="E1529" s="27" t="s">
        <v>453</v>
      </c>
      <c r="F1529" s="42"/>
    </row>
    <row r="1530" spans="2:6" x14ac:dyDescent="0.35">
      <c r="B1530" s="25" t="s">
        <v>360</v>
      </c>
      <c r="C1530" s="27" t="s">
        <v>2430</v>
      </c>
      <c r="D1530" s="26" t="s">
        <v>2431</v>
      </c>
      <c r="E1530" s="27" t="s">
        <v>453</v>
      </c>
      <c r="F1530" s="42"/>
    </row>
    <row r="1531" spans="2:6" x14ac:dyDescent="0.35">
      <c r="B1531" s="25" t="s">
        <v>360</v>
      </c>
      <c r="C1531" s="27" t="s">
        <v>2432</v>
      </c>
      <c r="D1531" s="26" t="s">
        <v>2433</v>
      </c>
      <c r="E1531" s="27" t="s">
        <v>453</v>
      </c>
      <c r="F1531" s="42"/>
    </row>
    <row r="1532" spans="2:6" x14ac:dyDescent="0.35">
      <c r="B1532" s="25" t="s">
        <v>360</v>
      </c>
      <c r="C1532" s="27" t="s">
        <v>2434</v>
      </c>
      <c r="D1532" s="26" t="s">
        <v>2435</v>
      </c>
      <c r="E1532" s="27" t="s">
        <v>453</v>
      </c>
      <c r="F1532" s="42"/>
    </row>
    <row r="1533" spans="2:6" x14ac:dyDescent="0.35">
      <c r="B1533" s="25" t="s">
        <v>360</v>
      </c>
      <c r="C1533" s="27" t="s">
        <v>2436</v>
      </c>
      <c r="D1533" s="26" t="s">
        <v>2437</v>
      </c>
      <c r="E1533" s="27" t="s">
        <v>453</v>
      </c>
      <c r="F1533" s="42"/>
    </row>
    <row r="1534" spans="2:6" x14ac:dyDescent="0.35">
      <c r="B1534" s="25" t="s">
        <v>360</v>
      </c>
      <c r="C1534" s="27" t="s">
        <v>2438</v>
      </c>
      <c r="D1534" s="26" t="s">
        <v>2439</v>
      </c>
      <c r="E1534" s="27" t="s">
        <v>453</v>
      </c>
      <c r="F1534" s="42"/>
    </row>
    <row r="1535" spans="2:6" x14ac:dyDescent="0.35">
      <c r="B1535" s="25" t="s">
        <v>360</v>
      </c>
      <c r="C1535" s="27" t="s">
        <v>2440</v>
      </c>
      <c r="D1535" s="26" t="s">
        <v>2441</v>
      </c>
      <c r="E1535" s="27" t="s">
        <v>453</v>
      </c>
      <c r="F1535" s="42"/>
    </row>
    <row r="1536" spans="2:6" x14ac:dyDescent="0.35">
      <c r="B1536" s="25" t="s">
        <v>360</v>
      </c>
      <c r="C1536" s="27" t="s">
        <v>2442</v>
      </c>
      <c r="D1536" s="26" t="s">
        <v>2443</v>
      </c>
      <c r="E1536" s="27" t="s">
        <v>453</v>
      </c>
      <c r="F1536" s="42"/>
    </row>
    <row r="1537" spans="2:6" x14ac:dyDescent="0.35">
      <c r="B1537" s="25" t="s">
        <v>360</v>
      </c>
      <c r="C1537" s="27" t="s">
        <v>2444</v>
      </c>
      <c r="D1537" s="26" t="s">
        <v>2344</v>
      </c>
      <c r="E1537" s="27" t="s">
        <v>453</v>
      </c>
      <c r="F1537" s="42"/>
    </row>
    <row r="1538" spans="2:6" x14ac:dyDescent="0.35">
      <c r="B1538" s="25" t="s">
        <v>360</v>
      </c>
      <c r="C1538" s="27" t="s">
        <v>2445</v>
      </c>
      <c r="D1538" s="26" t="s">
        <v>2182</v>
      </c>
      <c r="E1538" s="27" t="s">
        <v>453</v>
      </c>
      <c r="F1538" s="42"/>
    </row>
    <row r="1539" spans="2:6" x14ac:dyDescent="0.35">
      <c r="B1539" s="25" t="s">
        <v>360</v>
      </c>
      <c r="C1539" s="27" t="s">
        <v>2446</v>
      </c>
      <c r="D1539" s="26" t="s">
        <v>2447</v>
      </c>
      <c r="E1539" s="27" t="s">
        <v>453</v>
      </c>
      <c r="F1539" s="42"/>
    </row>
    <row r="1540" spans="2:6" x14ac:dyDescent="0.35">
      <c r="B1540" s="25" t="s">
        <v>360</v>
      </c>
      <c r="C1540" s="27" t="s">
        <v>2448</v>
      </c>
      <c r="D1540" s="26" t="s">
        <v>2449</v>
      </c>
      <c r="E1540" s="27" t="s">
        <v>453</v>
      </c>
      <c r="F1540" s="42"/>
    </row>
    <row r="1541" spans="2:6" x14ac:dyDescent="0.35">
      <c r="B1541" s="25" t="s">
        <v>360</v>
      </c>
      <c r="C1541" s="27" t="s">
        <v>2450</v>
      </c>
      <c r="D1541" s="26" t="s">
        <v>2451</v>
      </c>
      <c r="E1541" s="27" t="s">
        <v>453</v>
      </c>
      <c r="F1541" s="42"/>
    </row>
    <row r="1542" spans="2:6" x14ac:dyDescent="0.35">
      <c r="B1542" s="25" t="s">
        <v>360</v>
      </c>
      <c r="C1542" s="27" t="s">
        <v>2452</v>
      </c>
      <c r="D1542" s="26" t="s">
        <v>2453</v>
      </c>
      <c r="E1542" s="27" t="s">
        <v>453</v>
      </c>
      <c r="F1542" s="42"/>
    </row>
    <row r="1543" spans="2:6" x14ac:dyDescent="0.35">
      <c r="B1543" s="25" t="s">
        <v>360</v>
      </c>
      <c r="C1543" s="27" t="s">
        <v>2454</v>
      </c>
      <c r="D1543" s="26" t="s">
        <v>2455</v>
      </c>
      <c r="E1543" s="27" t="s">
        <v>453</v>
      </c>
      <c r="F1543" s="42"/>
    </row>
    <row r="1544" spans="2:6" x14ac:dyDescent="0.35">
      <c r="B1544" s="25" t="s">
        <v>360</v>
      </c>
      <c r="C1544" s="27" t="s">
        <v>2456</v>
      </c>
      <c r="D1544" s="26" t="s">
        <v>2457</v>
      </c>
      <c r="E1544" s="27" t="s">
        <v>453</v>
      </c>
      <c r="F1544" s="42"/>
    </row>
    <row r="1545" spans="2:6" x14ac:dyDescent="0.35">
      <c r="B1545" s="25" t="s">
        <v>360</v>
      </c>
      <c r="C1545" s="27" t="s">
        <v>2458</v>
      </c>
      <c r="D1545" s="26" t="s">
        <v>2459</v>
      </c>
      <c r="E1545" s="27" t="s">
        <v>453</v>
      </c>
      <c r="F1545" s="42"/>
    </row>
    <row r="1546" spans="2:6" x14ac:dyDescent="0.35">
      <c r="B1546" s="25" t="s">
        <v>360</v>
      </c>
      <c r="C1546" s="27" t="s">
        <v>2460</v>
      </c>
      <c r="D1546" s="26" t="s">
        <v>2413</v>
      </c>
      <c r="E1546" s="27" t="s">
        <v>453</v>
      </c>
      <c r="F1546" s="42"/>
    </row>
    <row r="1547" spans="2:6" x14ac:dyDescent="0.35">
      <c r="B1547" s="25" t="s">
        <v>360</v>
      </c>
      <c r="C1547" s="27" t="s">
        <v>2461</v>
      </c>
      <c r="D1547" s="26" t="s">
        <v>2462</v>
      </c>
      <c r="E1547" s="27" t="s">
        <v>453</v>
      </c>
      <c r="F1547" s="42"/>
    </row>
    <row r="1548" spans="2:6" x14ac:dyDescent="0.35">
      <c r="B1548" s="25" t="s">
        <v>360</v>
      </c>
      <c r="C1548" s="27" t="s">
        <v>2463</v>
      </c>
      <c r="D1548" s="26" t="s">
        <v>2464</v>
      </c>
      <c r="E1548" s="27" t="s">
        <v>453</v>
      </c>
      <c r="F1548" s="42"/>
    </row>
    <row r="1549" spans="2:6" x14ac:dyDescent="0.35">
      <c r="B1549" s="25" t="s">
        <v>360</v>
      </c>
      <c r="C1549" s="27" t="s">
        <v>2465</v>
      </c>
      <c r="D1549" s="26" t="s">
        <v>2466</v>
      </c>
      <c r="E1549" s="27" t="s">
        <v>453</v>
      </c>
      <c r="F1549" s="42"/>
    </row>
    <row r="1550" spans="2:6" x14ac:dyDescent="0.35">
      <c r="B1550" s="25" t="s">
        <v>360</v>
      </c>
      <c r="C1550" s="27" t="s">
        <v>2467</v>
      </c>
      <c r="D1550" s="26" t="s">
        <v>2468</v>
      </c>
      <c r="E1550" s="27" t="s">
        <v>453</v>
      </c>
      <c r="F1550" s="42"/>
    </row>
    <row r="1551" spans="2:6" x14ac:dyDescent="0.35">
      <c r="B1551" s="25" t="s">
        <v>360</v>
      </c>
      <c r="C1551" s="27" t="s">
        <v>2469</v>
      </c>
      <c r="D1551" s="26" t="s">
        <v>2180</v>
      </c>
      <c r="E1551" s="27" t="s">
        <v>453</v>
      </c>
      <c r="F1551" s="42"/>
    </row>
    <row r="1552" spans="2:6" x14ac:dyDescent="0.35">
      <c r="B1552" s="25" t="s">
        <v>360</v>
      </c>
      <c r="C1552" s="27" t="s">
        <v>2470</v>
      </c>
      <c r="D1552" s="26" t="s">
        <v>2471</v>
      </c>
      <c r="E1552" s="27" t="s">
        <v>453</v>
      </c>
      <c r="F1552" s="42"/>
    </row>
    <row r="1553" spans="2:6" x14ac:dyDescent="0.35">
      <c r="B1553" s="25" t="s">
        <v>360</v>
      </c>
      <c r="C1553" s="27" t="s">
        <v>2472</v>
      </c>
      <c r="D1553" s="26" t="s">
        <v>2473</v>
      </c>
      <c r="E1553" s="27" t="s">
        <v>453</v>
      </c>
      <c r="F1553" s="42"/>
    </row>
    <row r="1554" spans="2:6" x14ac:dyDescent="0.35">
      <c r="B1554" s="25" t="s">
        <v>360</v>
      </c>
      <c r="C1554" s="27" t="s">
        <v>2474</v>
      </c>
      <c r="D1554" s="26" t="s">
        <v>2475</v>
      </c>
      <c r="E1554" s="27" t="s">
        <v>453</v>
      </c>
      <c r="F1554" s="42"/>
    </row>
    <row r="1555" spans="2:6" x14ac:dyDescent="0.35">
      <c r="B1555" s="25" t="s">
        <v>360</v>
      </c>
      <c r="C1555" s="27" t="s">
        <v>2476</v>
      </c>
      <c r="D1555" s="26" t="s">
        <v>2477</v>
      </c>
      <c r="E1555" s="27" t="s">
        <v>453</v>
      </c>
      <c r="F1555" s="42"/>
    </row>
    <row r="1556" spans="2:6" x14ac:dyDescent="0.35">
      <c r="B1556" s="25" t="s">
        <v>360</v>
      </c>
      <c r="C1556" s="27" t="s">
        <v>2478</v>
      </c>
      <c r="D1556" s="26" t="s">
        <v>2479</v>
      </c>
      <c r="E1556" s="27" t="s">
        <v>453</v>
      </c>
      <c r="F1556" s="42"/>
    </row>
    <row r="1557" spans="2:6" x14ac:dyDescent="0.35">
      <c r="B1557" s="25" t="s">
        <v>360</v>
      </c>
      <c r="C1557" s="27" t="s">
        <v>2480</v>
      </c>
      <c r="D1557" s="26" t="s">
        <v>2481</v>
      </c>
      <c r="E1557" s="27" t="s">
        <v>453</v>
      </c>
      <c r="F1557" s="42"/>
    </row>
    <row r="1558" spans="2:6" x14ac:dyDescent="0.35">
      <c r="B1558" s="25" t="s">
        <v>360</v>
      </c>
      <c r="C1558" s="27" t="s">
        <v>2482</v>
      </c>
      <c r="D1558" s="26" t="s">
        <v>2483</v>
      </c>
      <c r="E1558" s="27" t="s">
        <v>453</v>
      </c>
      <c r="F1558" s="42"/>
    </row>
    <row r="1559" spans="2:6" x14ac:dyDescent="0.35">
      <c r="B1559" s="25" t="s">
        <v>360</v>
      </c>
      <c r="C1559" s="27" t="s">
        <v>2484</v>
      </c>
      <c r="D1559" s="26" t="s">
        <v>2485</v>
      </c>
      <c r="E1559" s="27" t="s">
        <v>453</v>
      </c>
      <c r="F1559" s="42"/>
    </row>
    <row r="1560" spans="2:6" x14ac:dyDescent="0.35">
      <c r="B1560" s="25" t="s">
        <v>360</v>
      </c>
      <c r="C1560" s="27" t="s">
        <v>2486</v>
      </c>
      <c r="D1560" s="26" t="s">
        <v>2487</v>
      </c>
      <c r="E1560" s="27" t="s">
        <v>453</v>
      </c>
      <c r="F1560" s="42"/>
    </row>
    <row r="1561" spans="2:6" x14ac:dyDescent="0.35">
      <c r="B1561" s="25" t="s">
        <v>360</v>
      </c>
      <c r="C1561" s="27" t="s">
        <v>2488</v>
      </c>
      <c r="D1561" s="26" t="s">
        <v>2489</v>
      </c>
      <c r="E1561" s="27" t="s">
        <v>453</v>
      </c>
      <c r="F1561" s="42"/>
    </row>
    <row r="1562" spans="2:6" x14ac:dyDescent="0.35">
      <c r="B1562" s="25" t="s">
        <v>360</v>
      </c>
      <c r="C1562" s="27" t="s">
        <v>2490</v>
      </c>
      <c r="D1562" s="26" t="s">
        <v>2491</v>
      </c>
      <c r="E1562" s="27" t="s">
        <v>453</v>
      </c>
      <c r="F1562" s="42"/>
    </row>
    <row r="1563" spans="2:6" x14ac:dyDescent="0.35">
      <c r="B1563" s="25" t="s">
        <v>360</v>
      </c>
      <c r="C1563" s="27" t="s">
        <v>2492</v>
      </c>
      <c r="D1563" s="26" t="s">
        <v>2312</v>
      </c>
      <c r="E1563" s="27" t="s">
        <v>453</v>
      </c>
      <c r="F1563" s="42"/>
    </row>
    <row r="1564" spans="2:6" x14ac:dyDescent="0.35">
      <c r="B1564" s="25" t="s">
        <v>360</v>
      </c>
      <c r="C1564" s="27" t="s">
        <v>2493</v>
      </c>
      <c r="D1564" s="26" t="s">
        <v>2459</v>
      </c>
      <c r="E1564" s="27" t="s">
        <v>453</v>
      </c>
      <c r="F1564" s="42"/>
    </row>
    <row r="1565" spans="2:6" x14ac:dyDescent="0.35">
      <c r="B1565" s="25" t="s">
        <v>360</v>
      </c>
      <c r="C1565" s="27" t="s">
        <v>2494</v>
      </c>
      <c r="D1565" s="26" t="s">
        <v>2495</v>
      </c>
      <c r="E1565" s="27" t="s">
        <v>453</v>
      </c>
      <c r="F1565" s="42"/>
    </row>
    <row r="1566" spans="2:6" x14ac:dyDescent="0.35">
      <c r="B1566" s="25" t="s">
        <v>360</v>
      </c>
      <c r="C1566" s="27" t="s">
        <v>2496</v>
      </c>
      <c r="D1566" s="26" t="s">
        <v>2497</v>
      </c>
      <c r="E1566" s="27" t="s">
        <v>453</v>
      </c>
      <c r="F1566" s="42"/>
    </row>
    <row r="1567" spans="2:6" x14ac:dyDescent="0.35">
      <c r="B1567" s="25" t="s">
        <v>360</v>
      </c>
      <c r="C1567" s="27" t="s">
        <v>2498</v>
      </c>
      <c r="D1567" s="26" t="s">
        <v>2499</v>
      </c>
      <c r="E1567" s="27" t="s">
        <v>453</v>
      </c>
      <c r="F1567" s="42"/>
    </row>
    <row r="1568" spans="2:6" x14ac:dyDescent="0.35">
      <c r="B1568" s="25" t="s">
        <v>360</v>
      </c>
      <c r="C1568" s="27" t="s">
        <v>2500</v>
      </c>
      <c r="D1568" s="26" t="s">
        <v>2501</v>
      </c>
      <c r="E1568" s="27" t="s">
        <v>453</v>
      </c>
      <c r="F1568" s="42"/>
    </row>
    <row r="1569" spans="2:6" x14ac:dyDescent="0.35">
      <c r="B1569" s="25" t="s">
        <v>360</v>
      </c>
      <c r="C1569" s="27" t="s">
        <v>2502</v>
      </c>
      <c r="D1569" s="26" t="s">
        <v>2503</v>
      </c>
      <c r="E1569" s="27" t="s">
        <v>453</v>
      </c>
      <c r="F1569" s="42"/>
    </row>
    <row r="1570" spans="2:6" x14ac:dyDescent="0.35">
      <c r="B1570" s="25" t="s">
        <v>360</v>
      </c>
      <c r="C1570" s="27" t="s">
        <v>2504</v>
      </c>
      <c r="D1570" s="26" t="s">
        <v>2505</v>
      </c>
      <c r="E1570" s="27" t="s">
        <v>453</v>
      </c>
      <c r="F1570" s="42"/>
    </row>
    <row r="1571" spans="2:6" x14ac:dyDescent="0.35">
      <c r="B1571" s="25" t="s">
        <v>360</v>
      </c>
      <c r="C1571" s="27" t="s">
        <v>2506</v>
      </c>
      <c r="D1571" s="26" t="s">
        <v>2246</v>
      </c>
      <c r="E1571" s="27" t="s">
        <v>453</v>
      </c>
      <c r="F1571" s="42"/>
    </row>
    <row r="1572" spans="2:6" x14ac:dyDescent="0.35">
      <c r="B1572" s="25" t="s">
        <v>360</v>
      </c>
      <c r="C1572" s="27" t="s">
        <v>2507</v>
      </c>
      <c r="D1572" s="26" t="s">
        <v>2443</v>
      </c>
      <c r="E1572" s="27" t="s">
        <v>453</v>
      </c>
      <c r="F1572" s="42"/>
    </row>
    <row r="1573" spans="2:6" x14ac:dyDescent="0.35">
      <c r="B1573" s="25" t="s">
        <v>360</v>
      </c>
      <c r="C1573" s="27" t="s">
        <v>2508</v>
      </c>
      <c r="D1573" s="26" t="s">
        <v>2509</v>
      </c>
      <c r="E1573" s="27" t="s">
        <v>453</v>
      </c>
      <c r="F1573" s="42"/>
    </row>
    <row r="1574" spans="2:6" x14ac:dyDescent="0.35">
      <c r="B1574" s="25" t="s">
        <v>360</v>
      </c>
      <c r="C1574" s="27" t="s">
        <v>2510</v>
      </c>
      <c r="D1574" s="26" t="s">
        <v>2511</v>
      </c>
      <c r="E1574" s="27" t="s">
        <v>453</v>
      </c>
      <c r="F1574" s="42"/>
    </row>
    <row r="1575" spans="2:6" x14ac:dyDescent="0.35">
      <c r="B1575" s="25" t="s">
        <v>360</v>
      </c>
      <c r="C1575" s="27" t="s">
        <v>2512</v>
      </c>
      <c r="D1575" s="26" t="s">
        <v>2513</v>
      </c>
      <c r="E1575" s="27" t="s">
        <v>453</v>
      </c>
      <c r="F1575" s="42"/>
    </row>
    <row r="1576" spans="2:6" x14ac:dyDescent="0.35">
      <c r="B1576" s="25" t="s">
        <v>360</v>
      </c>
      <c r="C1576" s="27" t="s">
        <v>2514</v>
      </c>
      <c r="D1576" s="26" t="s">
        <v>2180</v>
      </c>
      <c r="E1576" s="27" t="s">
        <v>453</v>
      </c>
      <c r="F1576" s="42"/>
    </row>
    <row r="1577" spans="2:6" x14ac:dyDescent="0.35">
      <c r="B1577" s="25" t="s">
        <v>360</v>
      </c>
      <c r="C1577" s="27" t="s">
        <v>2515</v>
      </c>
      <c r="D1577" s="26" t="s">
        <v>2344</v>
      </c>
      <c r="E1577" s="27" t="s">
        <v>453</v>
      </c>
      <c r="F1577" s="42"/>
    </row>
    <row r="1578" spans="2:6" x14ac:dyDescent="0.35">
      <c r="B1578" s="25" t="s">
        <v>360</v>
      </c>
      <c r="C1578" s="27" t="s">
        <v>2516</v>
      </c>
      <c r="D1578" s="26" t="s">
        <v>2517</v>
      </c>
      <c r="E1578" s="27" t="s">
        <v>453</v>
      </c>
      <c r="F1578" s="42"/>
    </row>
    <row r="1579" spans="2:6" x14ac:dyDescent="0.35">
      <c r="B1579" s="25" t="s">
        <v>360</v>
      </c>
      <c r="C1579" s="27" t="s">
        <v>2518</v>
      </c>
      <c r="D1579" s="26" t="s">
        <v>2188</v>
      </c>
      <c r="E1579" s="27" t="s">
        <v>453</v>
      </c>
      <c r="F1579" s="42"/>
    </row>
    <row r="1580" spans="2:6" x14ac:dyDescent="0.35">
      <c r="B1580" s="25" t="s">
        <v>360</v>
      </c>
      <c r="C1580" s="27" t="s">
        <v>2519</v>
      </c>
      <c r="D1580" s="26" t="s">
        <v>2305</v>
      </c>
      <c r="E1580" s="27" t="s">
        <v>453</v>
      </c>
      <c r="F1580" s="42"/>
    </row>
    <row r="1581" spans="2:6" x14ac:dyDescent="0.35">
      <c r="B1581" s="25" t="s">
        <v>360</v>
      </c>
      <c r="C1581" s="27" t="s">
        <v>2520</v>
      </c>
      <c r="D1581" s="26" t="s">
        <v>2521</v>
      </c>
      <c r="E1581" s="27" t="s">
        <v>453</v>
      </c>
      <c r="F1581" s="42"/>
    </row>
    <row r="1582" spans="2:6" x14ac:dyDescent="0.35">
      <c r="B1582" s="25" t="s">
        <v>360</v>
      </c>
      <c r="C1582" s="27" t="s">
        <v>2522</v>
      </c>
      <c r="D1582" s="26" t="s">
        <v>2523</v>
      </c>
      <c r="E1582" s="27" t="s">
        <v>453</v>
      </c>
      <c r="F1582" s="42"/>
    </row>
    <row r="1583" spans="2:6" x14ac:dyDescent="0.35">
      <c r="B1583" s="25" t="s">
        <v>360</v>
      </c>
      <c r="C1583" s="27" t="s">
        <v>2524</v>
      </c>
      <c r="D1583" s="26" t="s">
        <v>2525</v>
      </c>
      <c r="E1583" s="27" t="s">
        <v>453</v>
      </c>
      <c r="F1583" s="42"/>
    </row>
    <row r="1584" spans="2:6" x14ac:dyDescent="0.35">
      <c r="B1584" s="25" t="s">
        <v>360</v>
      </c>
      <c r="C1584" s="27" t="s">
        <v>2526</v>
      </c>
      <c r="D1584" s="26" t="s">
        <v>2089</v>
      </c>
      <c r="E1584" s="27" t="s">
        <v>453</v>
      </c>
      <c r="F1584" s="42"/>
    </row>
    <row r="1585" spans="2:6" x14ac:dyDescent="0.35">
      <c r="B1585" s="25" t="s">
        <v>360</v>
      </c>
      <c r="C1585" s="27" t="s">
        <v>2527</v>
      </c>
      <c r="D1585" s="26" t="s">
        <v>2344</v>
      </c>
      <c r="E1585" s="27" t="s">
        <v>453</v>
      </c>
      <c r="F1585" s="42"/>
    </row>
    <row r="1586" spans="2:6" x14ac:dyDescent="0.35">
      <c r="B1586" s="25" t="s">
        <v>360</v>
      </c>
      <c r="C1586" s="27" t="s">
        <v>2528</v>
      </c>
      <c r="D1586" s="26" t="s">
        <v>2383</v>
      </c>
      <c r="E1586" s="27" t="s">
        <v>453</v>
      </c>
      <c r="F1586" s="42"/>
    </row>
    <row r="1587" spans="2:6" x14ac:dyDescent="0.35">
      <c r="B1587" s="25" t="s">
        <v>360</v>
      </c>
      <c r="C1587" s="27" t="s">
        <v>2529</v>
      </c>
      <c r="D1587" s="26" t="s">
        <v>2530</v>
      </c>
      <c r="E1587" s="27" t="s">
        <v>453</v>
      </c>
      <c r="F1587" s="42"/>
    </row>
    <row r="1588" spans="2:6" x14ac:dyDescent="0.35">
      <c r="B1588" s="25" t="s">
        <v>360</v>
      </c>
      <c r="C1588" s="27" t="s">
        <v>2531</v>
      </c>
      <c r="D1588" s="26" t="s">
        <v>2532</v>
      </c>
      <c r="E1588" s="27" t="s">
        <v>453</v>
      </c>
      <c r="F1588" s="42"/>
    </row>
    <row r="1589" spans="2:6" x14ac:dyDescent="0.35">
      <c r="B1589" s="25" t="s">
        <v>360</v>
      </c>
      <c r="C1589" s="27" t="s">
        <v>2533</v>
      </c>
      <c r="D1589" s="26" t="s">
        <v>2534</v>
      </c>
      <c r="E1589" s="27" t="s">
        <v>453</v>
      </c>
      <c r="F1589" s="42"/>
    </row>
    <row r="1590" spans="2:6" x14ac:dyDescent="0.35">
      <c r="B1590" s="25" t="s">
        <v>360</v>
      </c>
      <c r="C1590" s="27" t="s">
        <v>2535</v>
      </c>
      <c r="D1590" s="26" t="s">
        <v>2536</v>
      </c>
      <c r="E1590" s="27" t="s">
        <v>453</v>
      </c>
      <c r="F1590" s="42"/>
    </row>
    <row r="1591" spans="2:6" x14ac:dyDescent="0.35">
      <c r="B1591" s="25" t="s">
        <v>360</v>
      </c>
      <c r="C1591" s="27" t="s">
        <v>2537</v>
      </c>
      <c r="D1591" s="26" t="s">
        <v>2538</v>
      </c>
      <c r="E1591" s="27" t="s">
        <v>453</v>
      </c>
      <c r="F1591" s="42"/>
    </row>
    <row r="1592" spans="2:6" x14ac:dyDescent="0.35">
      <c r="B1592" s="25" t="s">
        <v>360</v>
      </c>
      <c r="C1592" s="27" t="s">
        <v>2539</v>
      </c>
      <c r="D1592" s="26" t="s">
        <v>2540</v>
      </c>
      <c r="E1592" s="27" t="s">
        <v>453</v>
      </c>
      <c r="F1592" s="42"/>
    </row>
    <row r="1593" spans="2:6" x14ac:dyDescent="0.35">
      <c r="B1593" s="25" t="s">
        <v>360</v>
      </c>
      <c r="C1593" s="27" t="s">
        <v>2541</v>
      </c>
      <c r="D1593" s="26" t="s">
        <v>2344</v>
      </c>
      <c r="E1593" s="27" t="s">
        <v>453</v>
      </c>
      <c r="F1593" s="42"/>
    </row>
    <row r="1594" spans="2:6" x14ac:dyDescent="0.35">
      <c r="B1594" s="25" t="s">
        <v>360</v>
      </c>
      <c r="C1594" s="27" t="s">
        <v>2542</v>
      </c>
      <c r="D1594" s="26" t="s">
        <v>2543</v>
      </c>
      <c r="E1594" s="27" t="s">
        <v>453</v>
      </c>
      <c r="F1594" s="42"/>
    </row>
    <row r="1595" spans="2:6" x14ac:dyDescent="0.35">
      <c r="B1595" s="25" t="s">
        <v>360</v>
      </c>
      <c r="C1595" s="27" t="s">
        <v>2544</v>
      </c>
      <c r="D1595" s="26" t="s">
        <v>2182</v>
      </c>
      <c r="E1595" s="27" t="s">
        <v>453</v>
      </c>
      <c r="F1595" s="42"/>
    </row>
    <row r="1596" spans="2:6" x14ac:dyDescent="0.35">
      <c r="B1596" s="25" t="s">
        <v>360</v>
      </c>
      <c r="C1596" s="27" t="s">
        <v>2545</v>
      </c>
      <c r="D1596" s="26" t="s">
        <v>2546</v>
      </c>
      <c r="E1596" s="27" t="s">
        <v>453</v>
      </c>
      <c r="F1596" s="42"/>
    </row>
    <row r="1597" spans="2:6" x14ac:dyDescent="0.35">
      <c r="B1597" s="25" t="s">
        <v>360</v>
      </c>
      <c r="C1597" s="27" t="s">
        <v>2547</v>
      </c>
      <c r="D1597" s="26" t="s">
        <v>2150</v>
      </c>
      <c r="E1597" s="27" t="s">
        <v>453</v>
      </c>
      <c r="F1597" s="42"/>
    </row>
    <row r="1598" spans="2:6" x14ac:dyDescent="0.35">
      <c r="B1598" s="25" t="s">
        <v>360</v>
      </c>
      <c r="C1598" s="27" t="s">
        <v>2548</v>
      </c>
      <c r="D1598" s="26" t="s">
        <v>2366</v>
      </c>
      <c r="E1598" s="27" t="s">
        <v>453</v>
      </c>
      <c r="F1598" s="42"/>
    </row>
    <row r="1599" spans="2:6" x14ac:dyDescent="0.35">
      <c r="B1599" s="25" t="s">
        <v>360</v>
      </c>
      <c r="C1599" s="27" t="s">
        <v>2549</v>
      </c>
      <c r="D1599" s="26" t="s">
        <v>2550</v>
      </c>
      <c r="E1599" s="27" t="s">
        <v>453</v>
      </c>
      <c r="F1599" s="42"/>
    </row>
    <row r="1600" spans="2:6" x14ac:dyDescent="0.35">
      <c r="B1600" s="25" t="s">
        <v>360</v>
      </c>
      <c r="C1600" s="27" t="s">
        <v>2551</v>
      </c>
      <c r="D1600" s="26" t="s">
        <v>2272</v>
      </c>
      <c r="E1600" s="27" t="s">
        <v>453</v>
      </c>
      <c r="F1600" s="42"/>
    </row>
    <row r="1601" spans="2:6" x14ac:dyDescent="0.35">
      <c r="B1601" s="25" t="s">
        <v>360</v>
      </c>
      <c r="C1601" s="27" t="s">
        <v>2552</v>
      </c>
      <c r="D1601" s="26" t="s">
        <v>2553</v>
      </c>
      <c r="E1601" s="27" t="s">
        <v>453</v>
      </c>
      <c r="F1601" s="42"/>
    </row>
    <row r="1602" spans="2:6" x14ac:dyDescent="0.35">
      <c r="B1602" s="25" t="s">
        <v>360</v>
      </c>
      <c r="C1602" s="27" t="s">
        <v>2554</v>
      </c>
      <c r="D1602" s="26" t="s">
        <v>2555</v>
      </c>
      <c r="E1602" s="27" t="s">
        <v>453</v>
      </c>
      <c r="F1602" s="42"/>
    </row>
    <row r="1603" spans="2:6" x14ac:dyDescent="0.35">
      <c r="B1603" s="25" t="s">
        <v>360</v>
      </c>
      <c r="C1603" s="27" t="s">
        <v>2556</v>
      </c>
      <c r="D1603" s="26" t="s">
        <v>2557</v>
      </c>
      <c r="E1603" s="27" t="s">
        <v>453</v>
      </c>
      <c r="F1603" s="42"/>
    </row>
    <row r="1604" spans="2:6" x14ac:dyDescent="0.35">
      <c r="B1604" s="25" t="s">
        <v>360</v>
      </c>
      <c r="C1604" s="27" t="s">
        <v>2558</v>
      </c>
      <c r="D1604" s="26" t="s">
        <v>2559</v>
      </c>
      <c r="E1604" s="27" t="s">
        <v>453</v>
      </c>
      <c r="F1604" s="42"/>
    </row>
    <row r="1605" spans="2:6" x14ac:dyDescent="0.35">
      <c r="B1605" s="25" t="s">
        <v>360</v>
      </c>
      <c r="C1605" s="27" t="s">
        <v>2560</v>
      </c>
      <c r="D1605" s="26" t="s">
        <v>2089</v>
      </c>
      <c r="E1605" s="27" t="s">
        <v>453</v>
      </c>
      <c r="F1605" s="42"/>
    </row>
    <row r="1606" spans="2:6" x14ac:dyDescent="0.35">
      <c r="B1606" s="25" t="s">
        <v>360</v>
      </c>
      <c r="C1606" s="27" t="s">
        <v>2561</v>
      </c>
      <c r="D1606" s="26" t="s">
        <v>2562</v>
      </c>
      <c r="E1606" s="27" t="s">
        <v>453</v>
      </c>
      <c r="F1606" s="42"/>
    </row>
    <row r="1607" spans="2:6" x14ac:dyDescent="0.35">
      <c r="B1607" s="25" t="s">
        <v>360</v>
      </c>
      <c r="C1607" s="27" t="s">
        <v>2563</v>
      </c>
      <c r="D1607" s="26" t="s">
        <v>2564</v>
      </c>
      <c r="E1607" s="27" t="s">
        <v>453</v>
      </c>
      <c r="F1607" s="42"/>
    </row>
    <row r="1608" spans="2:6" x14ac:dyDescent="0.35">
      <c r="B1608" s="25" t="s">
        <v>360</v>
      </c>
      <c r="C1608" s="27" t="s">
        <v>2565</v>
      </c>
      <c r="D1608" s="26" t="s">
        <v>2383</v>
      </c>
      <c r="E1608" s="27" t="s">
        <v>453</v>
      </c>
      <c r="F1608" s="42"/>
    </row>
    <row r="1609" spans="2:6" x14ac:dyDescent="0.35">
      <c r="B1609" s="25" t="s">
        <v>360</v>
      </c>
      <c r="C1609" s="27" t="s">
        <v>2566</v>
      </c>
      <c r="D1609" s="26" t="s">
        <v>2567</v>
      </c>
      <c r="E1609" s="27" t="s">
        <v>453</v>
      </c>
      <c r="F1609" s="42"/>
    </row>
    <row r="1610" spans="2:6" x14ac:dyDescent="0.35">
      <c r="B1610" s="25" t="s">
        <v>360</v>
      </c>
      <c r="C1610" s="27" t="s">
        <v>2568</v>
      </c>
      <c r="D1610" s="26" t="s">
        <v>2569</v>
      </c>
      <c r="E1610" s="27" t="s">
        <v>453</v>
      </c>
      <c r="F1610" s="42"/>
    </row>
    <row r="1611" spans="2:6" x14ac:dyDescent="0.35">
      <c r="B1611" s="25" t="s">
        <v>360</v>
      </c>
      <c r="C1611" s="27" t="s">
        <v>2570</v>
      </c>
      <c r="D1611" s="26" t="s">
        <v>2571</v>
      </c>
      <c r="E1611" s="27" t="s">
        <v>453</v>
      </c>
      <c r="F1611" s="42"/>
    </row>
    <row r="1612" spans="2:6" x14ac:dyDescent="0.35">
      <c r="B1612" s="25" t="s">
        <v>360</v>
      </c>
      <c r="C1612" s="27" t="s">
        <v>2572</v>
      </c>
      <c r="D1612" s="26" t="s">
        <v>2217</v>
      </c>
      <c r="E1612" s="27" t="s">
        <v>453</v>
      </c>
      <c r="F1612" s="42"/>
    </row>
    <row r="1613" spans="2:6" x14ac:dyDescent="0.35">
      <c r="B1613" s="25" t="s">
        <v>360</v>
      </c>
      <c r="C1613" s="27" t="s">
        <v>2573</v>
      </c>
      <c r="D1613" s="26" t="s">
        <v>2574</v>
      </c>
      <c r="E1613" s="27" t="s">
        <v>453</v>
      </c>
      <c r="F1613" s="42"/>
    </row>
    <row r="1614" spans="2:6" x14ac:dyDescent="0.35">
      <c r="B1614" s="25" t="s">
        <v>360</v>
      </c>
      <c r="C1614" s="27" t="s">
        <v>2575</v>
      </c>
      <c r="D1614" s="26" t="s">
        <v>2576</v>
      </c>
      <c r="E1614" s="27" t="s">
        <v>453</v>
      </c>
      <c r="F1614" s="42"/>
    </row>
    <row r="1615" spans="2:6" x14ac:dyDescent="0.35">
      <c r="B1615" s="25" t="s">
        <v>360</v>
      </c>
      <c r="C1615" s="27" t="s">
        <v>2577</v>
      </c>
      <c r="D1615" s="26" t="s">
        <v>2344</v>
      </c>
      <c r="E1615" s="27" t="s">
        <v>453</v>
      </c>
      <c r="F1615" s="42"/>
    </row>
    <row r="1616" spans="2:6" x14ac:dyDescent="0.35">
      <c r="B1616" s="25" t="s">
        <v>360</v>
      </c>
      <c r="C1616" s="27" t="s">
        <v>2578</v>
      </c>
      <c r="D1616" s="26" t="s">
        <v>2579</v>
      </c>
      <c r="E1616" s="27" t="s">
        <v>453</v>
      </c>
      <c r="F1616" s="42"/>
    </row>
    <row r="1617" spans="2:6" x14ac:dyDescent="0.35">
      <c r="B1617" s="25" t="s">
        <v>360</v>
      </c>
      <c r="C1617" s="27" t="s">
        <v>2580</v>
      </c>
      <c r="D1617" s="26" t="s">
        <v>2581</v>
      </c>
      <c r="E1617" s="27" t="s">
        <v>453</v>
      </c>
      <c r="F1617" s="42"/>
    </row>
    <row r="1618" spans="2:6" x14ac:dyDescent="0.35">
      <c r="B1618" s="25" t="s">
        <v>360</v>
      </c>
      <c r="C1618" s="27" t="s">
        <v>2582</v>
      </c>
      <c r="D1618" s="26" t="s">
        <v>2180</v>
      </c>
      <c r="E1618" s="27" t="s">
        <v>453</v>
      </c>
      <c r="F1618" s="42"/>
    </row>
    <row r="1619" spans="2:6" x14ac:dyDescent="0.35">
      <c r="B1619" s="25" t="s">
        <v>360</v>
      </c>
      <c r="C1619" s="27" t="s">
        <v>2583</v>
      </c>
      <c r="D1619" s="26" t="s">
        <v>2584</v>
      </c>
      <c r="E1619" s="27" t="s">
        <v>453</v>
      </c>
      <c r="F1619" s="42"/>
    </row>
    <row r="1620" spans="2:6" x14ac:dyDescent="0.35">
      <c r="B1620" s="25" t="s">
        <v>360</v>
      </c>
      <c r="C1620" s="27" t="s">
        <v>2585</v>
      </c>
      <c r="D1620" s="26" t="s">
        <v>2586</v>
      </c>
      <c r="E1620" s="27" t="s">
        <v>453</v>
      </c>
      <c r="F1620" s="42"/>
    </row>
    <row r="1621" spans="2:6" x14ac:dyDescent="0.35">
      <c r="B1621" s="25" t="s">
        <v>360</v>
      </c>
      <c r="C1621" s="27" t="s">
        <v>2587</v>
      </c>
      <c r="D1621" s="26" t="s">
        <v>2588</v>
      </c>
      <c r="E1621" s="27" t="s">
        <v>453</v>
      </c>
      <c r="F1621" s="42"/>
    </row>
    <row r="1622" spans="2:6" x14ac:dyDescent="0.35">
      <c r="B1622" s="25" t="s">
        <v>360</v>
      </c>
      <c r="C1622" s="27" t="s">
        <v>2589</v>
      </c>
      <c r="D1622" s="26" t="s">
        <v>2590</v>
      </c>
      <c r="E1622" s="27" t="s">
        <v>453</v>
      </c>
      <c r="F1622" s="42"/>
    </row>
    <row r="1623" spans="2:6" x14ac:dyDescent="0.35">
      <c r="B1623" s="25" t="s">
        <v>360</v>
      </c>
      <c r="C1623" s="27" t="s">
        <v>2591</v>
      </c>
      <c r="D1623" s="26" t="s">
        <v>2592</v>
      </c>
      <c r="E1623" s="27" t="s">
        <v>453</v>
      </c>
      <c r="F1623" s="42"/>
    </row>
    <row r="1624" spans="2:6" x14ac:dyDescent="0.35">
      <c r="B1624" s="25" t="s">
        <v>360</v>
      </c>
      <c r="C1624" s="27" t="s">
        <v>2593</v>
      </c>
      <c r="D1624" s="26" t="s">
        <v>2594</v>
      </c>
      <c r="E1624" s="27" t="s">
        <v>453</v>
      </c>
      <c r="F1624" s="42"/>
    </row>
    <row r="1625" spans="2:6" x14ac:dyDescent="0.35">
      <c r="B1625" s="25" t="s">
        <v>360</v>
      </c>
      <c r="C1625" s="27" t="s">
        <v>2595</v>
      </c>
      <c r="D1625" s="26" t="s">
        <v>2596</v>
      </c>
      <c r="E1625" s="27" t="s">
        <v>453</v>
      </c>
      <c r="F1625" s="42"/>
    </row>
    <row r="1626" spans="2:6" x14ac:dyDescent="0.35">
      <c r="B1626" s="25" t="s">
        <v>360</v>
      </c>
      <c r="C1626" s="27" t="s">
        <v>2597</v>
      </c>
      <c r="D1626" s="26" t="s">
        <v>2305</v>
      </c>
      <c r="E1626" s="27" t="s">
        <v>453</v>
      </c>
      <c r="F1626" s="42"/>
    </row>
    <row r="1627" spans="2:6" x14ac:dyDescent="0.35">
      <c r="B1627" s="25" t="s">
        <v>360</v>
      </c>
      <c r="C1627" s="27" t="s">
        <v>2598</v>
      </c>
      <c r="D1627" s="26" t="s">
        <v>2491</v>
      </c>
      <c r="E1627" s="27" t="s">
        <v>453</v>
      </c>
      <c r="F1627" s="42"/>
    </row>
    <row r="1628" spans="2:6" x14ac:dyDescent="0.35">
      <c r="B1628" s="25" t="s">
        <v>360</v>
      </c>
      <c r="C1628" s="27" t="s">
        <v>2599</v>
      </c>
      <c r="D1628" s="26" t="s">
        <v>2600</v>
      </c>
      <c r="E1628" s="27" t="s">
        <v>453</v>
      </c>
      <c r="F1628" s="42"/>
    </row>
    <row r="1629" spans="2:6" x14ac:dyDescent="0.35">
      <c r="B1629" s="25" t="s">
        <v>360</v>
      </c>
      <c r="C1629" s="27" t="s">
        <v>2601</v>
      </c>
      <c r="D1629" s="26" t="s">
        <v>2602</v>
      </c>
      <c r="E1629" s="27" t="s">
        <v>453</v>
      </c>
      <c r="F1629" s="42"/>
    </row>
    <row r="1630" spans="2:6" x14ac:dyDescent="0.35">
      <c r="B1630" s="25" t="s">
        <v>360</v>
      </c>
      <c r="C1630" s="27" t="s">
        <v>2603</v>
      </c>
      <c r="D1630" s="26" t="s">
        <v>2604</v>
      </c>
      <c r="E1630" s="27" t="s">
        <v>453</v>
      </c>
      <c r="F1630" s="42"/>
    </row>
    <row r="1631" spans="2:6" x14ac:dyDescent="0.35">
      <c r="B1631" s="25" t="s">
        <v>360</v>
      </c>
      <c r="C1631" s="27" t="s">
        <v>2605</v>
      </c>
      <c r="D1631" s="26" t="s">
        <v>2606</v>
      </c>
      <c r="E1631" s="27" t="s">
        <v>453</v>
      </c>
      <c r="F1631" s="42"/>
    </row>
    <row r="1632" spans="2:6" x14ac:dyDescent="0.35">
      <c r="B1632" s="25" t="s">
        <v>360</v>
      </c>
      <c r="C1632" s="27" t="s">
        <v>2607</v>
      </c>
      <c r="D1632" s="26" t="s">
        <v>2608</v>
      </c>
      <c r="E1632" s="27" t="s">
        <v>453</v>
      </c>
      <c r="F1632" s="42"/>
    </row>
    <row r="1633" spans="2:6" x14ac:dyDescent="0.35">
      <c r="B1633" s="25" t="s">
        <v>360</v>
      </c>
      <c r="C1633" s="27" t="s">
        <v>2609</v>
      </c>
      <c r="D1633" s="26" t="s">
        <v>2610</v>
      </c>
      <c r="E1633" s="27" t="s">
        <v>453</v>
      </c>
      <c r="F1633" s="42"/>
    </row>
    <row r="1634" spans="2:6" x14ac:dyDescent="0.35">
      <c r="B1634" s="25" t="s">
        <v>360</v>
      </c>
      <c r="C1634" s="27" t="s">
        <v>2611</v>
      </c>
      <c r="D1634" s="26" t="s">
        <v>2612</v>
      </c>
      <c r="E1634" s="27" t="s">
        <v>453</v>
      </c>
      <c r="F1634" s="42"/>
    </row>
    <row r="1635" spans="2:6" x14ac:dyDescent="0.35">
      <c r="B1635" s="25" t="s">
        <v>360</v>
      </c>
      <c r="C1635" s="27" t="s">
        <v>2613</v>
      </c>
      <c r="D1635" s="26" t="s">
        <v>2614</v>
      </c>
      <c r="E1635" s="27" t="s">
        <v>453</v>
      </c>
      <c r="F1635" s="42"/>
    </row>
    <row r="1636" spans="2:6" x14ac:dyDescent="0.35">
      <c r="B1636" s="25" t="s">
        <v>360</v>
      </c>
      <c r="C1636" s="27" t="s">
        <v>2615</v>
      </c>
      <c r="D1636" s="26" t="s">
        <v>2616</v>
      </c>
      <c r="E1636" s="27" t="s">
        <v>453</v>
      </c>
      <c r="F1636" s="42"/>
    </row>
    <row r="1637" spans="2:6" x14ac:dyDescent="0.35">
      <c r="B1637" s="25" t="s">
        <v>360</v>
      </c>
      <c r="C1637" s="27" t="s">
        <v>2617</v>
      </c>
      <c r="D1637" s="26" t="s">
        <v>2618</v>
      </c>
      <c r="E1637" s="27" t="s">
        <v>453</v>
      </c>
      <c r="F1637" s="42"/>
    </row>
    <row r="1638" spans="2:6" x14ac:dyDescent="0.35">
      <c r="B1638" s="25" t="s">
        <v>360</v>
      </c>
      <c r="C1638" s="27" t="s">
        <v>2619</v>
      </c>
      <c r="D1638" s="26" t="s">
        <v>2620</v>
      </c>
      <c r="E1638" s="27" t="s">
        <v>453</v>
      </c>
      <c r="F1638" s="42"/>
    </row>
    <row r="1639" spans="2:6" x14ac:dyDescent="0.35">
      <c r="B1639" s="25" t="s">
        <v>360</v>
      </c>
      <c r="C1639" s="27" t="s">
        <v>2621</v>
      </c>
      <c r="D1639" s="26" t="s">
        <v>2622</v>
      </c>
      <c r="E1639" s="27" t="s">
        <v>453</v>
      </c>
      <c r="F1639" s="42"/>
    </row>
    <row r="1640" spans="2:6" x14ac:dyDescent="0.35">
      <c r="B1640" s="25" t="s">
        <v>360</v>
      </c>
      <c r="C1640" s="27" t="s">
        <v>2623</v>
      </c>
      <c r="D1640" s="26" t="s">
        <v>2366</v>
      </c>
      <c r="E1640" s="27" t="s">
        <v>453</v>
      </c>
      <c r="F1640" s="42"/>
    </row>
    <row r="1641" spans="2:6" x14ac:dyDescent="0.35">
      <c r="B1641" s="25" t="s">
        <v>360</v>
      </c>
      <c r="C1641" s="27" t="s">
        <v>2624</v>
      </c>
      <c r="D1641" s="26" t="s">
        <v>2625</v>
      </c>
      <c r="E1641" s="27" t="s">
        <v>453</v>
      </c>
      <c r="F1641" s="42"/>
    </row>
    <row r="1642" spans="2:6" x14ac:dyDescent="0.35">
      <c r="B1642" s="25" t="s">
        <v>360</v>
      </c>
      <c r="C1642" s="27" t="s">
        <v>2626</v>
      </c>
      <c r="D1642" s="26" t="s">
        <v>2627</v>
      </c>
      <c r="E1642" s="27" t="s">
        <v>453</v>
      </c>
      <c r="F1642" s="42"/>
    </row>
    <row r="1643" spans="2:6" x14ac:dyDescent="0.35">
      <c r="B1643" s="25" t="s">
        <v>360</v>
      </c>
      <c r="C1643" s="27" t="s">
        <v>2628</v>
      </c>
      <c r="D1643" s="26" t="s">
        <v>2629</v>
      </c>
      <c r="E1643" s="27" t="s">
        <v>453</v>
      </c>
      <c r="F1643" s="42"/>
    </row>
    <row r="1644" spans="2:6" x14ac:dyDescent="0.35">
      <c r="B1644" s="25" t="s">
        <v>360</v>
      </c>
      <c r="C1644" s="27" t="s">
        <v>2630</v>
      </c>
      <c r="D1644" s="26" t="s">
        <v>2631</v>
      </c>
      <c r="E1644" s="27" t="s">
        <v>453</v>
      </c>
      <c r="F1644" s="42"/>
    </row>
    <row r="1645" spans="2:6" x14ac:dyDescent="0.35">
      <c r="B1645" s="25" t="s">
        <v>360</v>
      </c>
      <c r="C1645" s="27" t="s">
        <v>2632</v>
      </c>
      <c r="D1645" s="26" t="s">
        <v>2633</v>
      </c>
      <c r="E1645" s="27" t="s">
        <v>453</v>
      </c>
      <c r="F1645" s="42"/>
    </row>
    <row r="1646" spans="2:6" x14ac:dyDescent="0.35">
      <c r="B1646" s="25" t="s">
        <v>360</v>
      </c>
      <c r="C1646" s="27" t="s">
        <v>2634</v>
      </c>
      <c r="D1646" s="26" t="s">
        <v>2635</v>
      </c>
      <c r="E1646" s="27" t="s">
        <v>453</v>
      </c>
      <c r="F1646" s="42"/>
    </row>
    <row r="1647" spans="2:6" x14ac:dyDescent="0.35">
      <c r="B1647" s="25" t="s">
        <v>360</v>
      </c>
      <c r="C1647" s="27" t="s">
        <v>2636</v>
      </c>
      <c r="D1647" s="26" t="s">
        <v>2637</v>
      </c>
      <c r="E1647" s="27" t="s">
        <v>453</v>
      </c>
      <c r="F1647" s="42"/>
    </row>
    <row r="1648" spans="2:6" x14ac:dyDescent="0.35">
      <c r="B1648" s="25" t="s">
        <v>360</v>
      </c>
      <c r="C1648" s="27" t="s">
        <v>2638</v>
      </c>
      <c r="D1648" s="26" t="s">
        <v>2639</v>
      </c>
      <c r="E1648" s="27" t="s">
        <v>453</v>
      </c>
      <c r="F1648" s="42"/>
    </row>
    <row r="1649" spans="2:6" x14ac:dyDescent="0.35">
      <c r="B1649" s="25" t="s">
        <v>360</v>
      </c>
      <c r="C1649" s="27" t="s">
        <v>2640</v>
      </c>
      <c r="D1649" s="26" t="s">
        <v>2305</v>
      </c>
      <c r="E1649" s="27" t="s">
        <v>453</v>
      </c>
      <c r="F1649" s="42"/>
    </row>
    <row r="1650" spans="2:6" x14ac:dyDescent="0.35">
      <c r="B1650" s="25" t="s">
        <v>360</v>
      </c>
      <c r="C1650" s="27" t="s">
        <v>2641</v>
      </c>
      <c r="D1650" s="26" t="s">
        <v>2642</v>
      </c>
      <c r="E1650" s="27" t="s">
        <v>453</v>
      </c>
      <c r="F1650" s="42"/>
    </row>
    <row r="1651" spans="2:6" x14ac:dyDescent="0.35">
      <c r="B1651" s="25" t="s">
        <v>360</v>
      </c>
      <c r="C1651" s="27" t="s">
        <v>2643</v>
      </c>
      <c r="D1651" s="26" t="s">
        <v>2644</v>
      </c>
      <c r="E1651" s="27" t="s">
        <v>453</v>
      </c>
      <c r="F1651" s="42"/>
    </row>
    <row r="1652" spans="2:6" x14ac:dyDescent="0.35">
      <c r="B1652" s="25" t="s">
        <v>360</v>
      </c>
      <c r="C1652" s="27" t="s">
        <v>2645</v>
      </c>
      <c r="D1652" s="26" t="s">
        <v>2646</v>
      </c>
      <c r="E1652" s="27" t="s">
        <v>453</v>
      </c>
      <c r="F1652" s="42"/>
    </row>
    <row r="1653" spans="2:6" x14ac:dyDescent="0.35">
      <c r="B1653" s="25" t="s">
        <v>360</v>
      </c>
      <c r="C1653" s="27" t="s">
        <v>2647</v>
      </c>
      <c r="D1653" s="26" t="s">
        <v>2648</v>
      </c>
      <c r="E1653" s="27" t="s">
        <v>453</v>
      </c>
      <c r="F1653" s="42"/>
    </row>
    <row r="1654" spans="2:6" x14ac:dyDescent="0.35">
      <c r="B1654" s="25" t="s">
        <v>360</v>
      </c>
      <c r="C1654" s="27" t="s">
        <v>2649</v>
      </c>
      <c r="D1654" s="26" t="s">
        <v>2650</v>
      </c>
      <c r="E1654" s="27" t="s">
        <v>453</v>
      </c>
      <c r="F1654" s="42"/>
    </row>
    <row r="1655" spans="2:6" x14ac:dyDescent="0.35">
      <c r="B1655" s="25" t="s">
        <v>360</v>
      </c>
      <c r="C1655" s="27" t="s">
        <v>2651</v>
      </c>
      <c r="D1655" s="26" t="s">
        <v>2652</v>
      </c>
      <c r="E1655" s="27" t="s">
        <v>480</v>
      </c>
      <c r="F1655" s="42"/>
    </row>
    <row r="1656" spans="2:6" x14ac:dyDescent="0.35">
      <c r="B1656" s="25" t="s">
        <v>360</v>
      </c>
      <c r="C1656" s="27" t="s">
        <v>2653</v>
      </c>
      <c r="D1656" s="26" t="s">
        <v>2654</v>
      </c>
      <c r="E1656" s="27" t="s">
        <v>453</v>
      </c>
      <c r="F1656" s="42"/>
    </row>
    <row r="1657" spans="2:6" x14ac:dyDescent="0.35">
      <c r="B1657" s="25" t="s">
        <v>360</v>
      </c>
      <c r="C1657" s="27" t="s">
        <v>2655</v>
      </c>
      <c r="D1657" s="26" t="s">
        <v>2656</v>
      </c>
      <c r="E1657" s="27" t="s">
        <v>453</v>
      </c>
      <c r="F1657" s="42"/>
    </row>
    <row r="1658" spans="2:6" x14ac:dyDescent="0.35">
      <c r="B1658" s="25" t="s">
        <v>360</v>
      </c>
      <c r="C1658" s="27" t="s">
        <v>2657</v>
      </c>
      <c r="D1658" s="26" t="s">
        <v>2658</v>
      </c>
      <c r="E1658" s="27" t="s">
        <v>453</v>
      </c>
      <c r="F1658" s="42"/>
    </row>
    <row r="1659" spans="2:6" x14ac:dyDescent="0.35">
      <c r="B1659" s="25" t="s">
        <v>360</v>
      </c>
      <c r="C1659" s="27" t="s">
        <v>2659</v>
      </c>
      <c r="D1659" s="26" t="s">
        <v>2660</v>
      </c>
      <c r="E1659" s="27" t="s">
        <v>453</v>
      </c>
      <c r="F1659" s="42"/>
    </row>
    <row r="1660" spans="2:6" x14ac:dyDescent="0.35">
      <c r="B1660" s="25" t="s">
        <v>360</v>
      </c>
      <c r="C1660" s="27" t="s">
        <v>2661</v>
      </c>
      <c r="D1660" s="26" t="s">
        <v>2180</v>
      </c>
      <c r="E1660" s="27" t="s">
        <v>453</v>
      </c>
      <c r="F1660" s="42"/>
    </row>
    <row r="1661" spans="2:6" x14ac:dyDescent="0.35">
      <c r="B1661" s="25" t="s">
        <v>360</v>
      </c>
      <c r="C1661" s="27" t="s">
        <v>2662</v>
      </c>
      <c r="D1661" s="26" t="s">
        <v>2663</v>
      </c>
      <c r="E1661" s="27" t="s">
        <v>453</v>
      </c>
      <c r="F1661" s="42"/>
    </row>
    <row r="1662" spans="2:6" x14ac:dyDescent="0.35">
      <c r="B1662" s="25" t="s">
        <v>360</v>
      </c>
      <c r="C1662" s="27" t="s">
        <v>2664</v>
      </c>
      <c r="D1662" s="26" t="s">
        <v>2665</v>
      </c>
      <c r="E1662" s="27" t="s">
        <v>453</v>
      </c>
      <c r="F1662" s="42"/>
    </row>
    <row r="1663" spans="2:6" x14ac:dyDescent="0.35">
      <c r="B1663" s="25" t="s">
        <v>360</v>
      </c>
      <c r="C1663" s="27" t="s">
        <v>2666</v>
      </c>
      <c r="D1663" s="26" t="s">
        <v>2658</v>
      </c>
      <c r="E1663" s="27" t="s">
        <v>453</v>
      </c>
      <c r="F1663" s="42"/>
    </row>
    <row r="1664" spans="2:6" x14ac:dyDescent="0.35">
      <c r="B1664" s="25" t="s">
        <v>360</v>
      </c>
      <c r="C1664" s="27" t="s">
        <v>2667</v>
      </c>
      <c r="D1664" s="26" t="s">
        <v>2180</v>
      </c>
      <c r="E1664" s="27" t="s">
        <v>453</v>
      </c>
      <c r="F1664" s="42"/>
    </row>
    <row r="1665" spans="2:6" x14ac:dyDescent="0.35">
      <c r="B1665" s="25" t="s">
        <v>360</v>
      </c>
      <c r="C1665" s="27" t="s">
        <v>2668</v>
      </c>
      <c r="D1665" s="26" t="s">
        <v>2669</v>
      </c>
      <c r="E1665" s="27" t="s">
        <v>453</v>
      </c>
      <c r="F1665" s="42"/>
    </row>
    <row r="1666" spans="2:6" x14ac:dyDescent="0.35">
      <c r="B1666" s="25" t="s">
        <v>360</v>
      </c>
      <c r="C1666" s="27" t="s">
        <v>2670</v>
      </c>
      <c r="D1666" s="26" t="s">
        <v>2671</v>
      </c>
      <c r="E1666" s="27" t="s">
        <v>453</v>
      </c>
      <c r="F1666" s="42"/>
    </row>
    <row r="1667" spans="2:6" x14ac:dyDescent="0.35">
      <c r="B1667" s="25" t="s">
        <v>360</v>
      </c>
      <c r="C1667" s="27" t="s">
        <v>2672</v>
      </c>
      <c r="D1667" s="26" t="s">
        <v>2673</v>
      </c>
      <c r="E1667" s="27" t="s">
        <v>453</v>
      </c>
      <c r="F1667" s="42"/>
    </row>
    <row r="1668" spans="2:6" x14ac:dyDescent="0.35">
      <c r="B1668" s="25" t="s">
        <v>360</v>
      </c>
      <c r="C1668" s="27" t="s">
        <v>2674</v>
      </c>
      <c r="D1668" s="26" t="s">
        <v>2675</v>
      </c>
      <c r="E1668" s="27" t="s">
        <v>453</v>
      </c>
      <c r="F1668" s="42"/>
    </row>
    <row r="1669" spans="2:6" x14ac:dyDescent="0.35">
      <c r="B1669" s="25" t="s">
        <v>360</v>
      </c>
      <c r="C1669" s="27" t="s">
        <v>2676</v>
      </c>
      <c r="D1669" s="26" t="s">
        <v>2677</v>
      </c>
      <c r="E1669" s="27" t="s">
        <v>453</v>
      </c>
      <c r="F1669" s="42"/>
    </row>
    <row r="1670" spans="2:6" x14ac:dyDescent="0.35">
      <c r="B1670" s="25" t="s">
        <v>360</v>
      </c>
      <c r="C1670" s="27" t="s">
        <v>2678</v>
      </c>
      <c r="D1670" s="26" t="s">
        <v>2679</v>
      </c>
      <c r="E1670" s="27" t="s">
        <v>453</v>
      </c>
      <c r="F1670" s="42"/>
    </row>
    <row r="1671" spans="2:6" x14ac:dyDescent="0.35">
      <c r="B1671" s="25" t="s">
        <v>360</v>
      </c>
      <c r="C1671" s="27" t="s">
        <v>2680</v>
      </c>
      <c r="D1671" s="26" t="s">
        <v>2409</v>
      </c>
      <c r="E1671" s="27" t="s">
        <v>453</v>
      </c>
      <c r="F1671" s="42"/>
    </row>
    <row r="1672" spans="2:6" x14ac:dyDescent="0.35">
      <c r="B1672" s="25" t="s">
        <v>360</v>
      </c>
      <c r="C1672" s="27" t="s">
        <v>2681</v>
      </c>
      <c r="D1672" s="26" t="s">
        <v>2682</v>
      </c>
      <c r="E1672" s="27" t="s">
        <v>453</v>
      </c>
      <c r="F1672" s="42"/>
    </row>
    <row r="1673" spans="2:6" x14ac:dyDescent="0.35">
      <c r="B1673" s="25" t="s">
        <v>360</v>
      </c>
      <c r="C1673" s="27" t="s">
        <v>2683</v>
      </c>
      <c r="D1673" s="26" t="s">
        <v>2684</v>
      </c>
      <c r="E1673" s="27" t="s">
        <v>453</v>
      </c>
      <c r="F1673" s="42"/>
    </row>
    <row r="1674" spans="2:6" x14ac:dyDescent="0.35">
      <c r="B1674" s="25" t="s">
        <v>360</v>
      </c>
      <c r="C1674" s="27" t="s">
        <v>2685</v>
      </c>
      <c r="D1674" s="26" t="s">
        <v>2182</v>
      </c>
      <c r="E1674" s="27" t="s">
        <v>453</v>
      </c>
      <c r="F1674" s="42"/>
    </row>
    <row r="1675" spans="2:6" x14ac:dyDescent="0.35">
      <c r="B1675" s="25" t="s">
        <v>360</v>
      </c>
      <c r="C1675" s="27" t="s">
        <v>2686</v>
      </c>
      <c r="D1675" s="26" t="s">
        <v>2196</v>
      </c>
      <c r="E1675" s="27" t="s">
        <v>453</v>
      </c>
      <c r="F1675" s="42"/>
    </row>
    <row r="1676" spans="2:6" x14ac:dyDescent="0.35">
      <c r="B1676" s="25" t="s">
        <v>360</v>
      </c>
      <c r="C1676" s="27" t="s">
        <v>2687</v>
      </c>
      <c r="D1676" s="26" t="s">
        <v>2688</v>
      </c>
      <c r="E1676" s="27" t="s">
        <v>453</v>
      </c>
      <c r="F1676" s="42"/>
    </row>
    <row r="1677" spans="2:6" x14ac:dyDescent="0.35">
      <c r="B1677" s="25" t="s">
        <v>360</v>
      </c>
      <c r="C1677" s="27" t="s">
        <v>2689</v>
      </c>
      <c r="D1677" s="26" t="s">
        <v>2184</v>
      </c>
      <c r="E1677" s="27" t="s">
        <v>453</v>
      </c>
      <c r="F1677" s="42"/>
    </row>
    <row r="1678" spans="2:6" x14ac:dyDescent="0.35">
      <c r="B1678" s="25" t="s">
        <v>360</v>
      </c>
      <c r="C1678" s="27" t="s">
        <v>2690</v>
      </c>
      <c r="D1678" s="26" t="s">
        <v>2691</v>
      </c>
      <c r="E1678" s="27" t="s">
        <v>453</v>
      </c>
      <c r="F1678" s="42"/>
    </row>
    <row r="1679" spans="2:6" x14ac:dyDescent="0.35">
      <c r="B1679" s="25" t="s">
        <v>360</v>
      </c>
      <c r="C1679" s="27" t="s">
        <v>2692</v>
      </c>
      <c r="D1679" s="26" t="s">
        <v>2693</v>
      </c>
      <c r="E1679" s="27" t="s">
        <v>453</v>
      </c>
      <c r="F1679" s="42"/>
    </row>
    <row r="1680" spans="2:6" x14ac:dyDescent="0.35">
      <c r="B1680" s="25" t="s">
        <v>360</v>
      </c>
      <c r="C1680" s="27" t="s">
        <v>2694</v>
      </c>
      <c r="D1680" s="26" t="s">
        <v>2695</v>
      </c>
      <c r="E1680" s="27" t="s">
        <v>453</v>
      </c>
      <c r="F1680" s="42"/>
    </row>
    <row r="1681" spans="2:6" x14ac:dyDescent="0.35">
      <c r="B1681" s="25" t="s">
        <v>360</v>
      </c>
      <c r="C1681" s="27" t="s">
        <v>2696</v>
      </c>
      <c r="D1681" s="26" t="s">
        <v>2443</v>
      </c>
      <c r="E1681" s="27" t="s">
        <v>453</v>
      </c>
      <c r="F1681" s="42"/>
    </row>
    <row r="1682" spans="2:6" x14ac:dyDescent="0.35">
      <c r="B1682" s="25" t="s">
        <v>360</v>
      </c>
      <c r="C1682" s="27" t="s">
        <v>2697</v>
      </c>
      <c r="D1682" s="26" t="s">
        <v>2698</v>
      </c>
      <c r="E1682" s="27" t="s">
        <v>453</v>
      </c>
      <c r="F1682" s="42"/>
    </row>
    <row r="1683" spans="2:6" x14ac:dyDescent="0.35">
      <c r="B1683" s="25" t="s">
        <v>360</v>
      </c>
      <c r="C1683" s="27" t="s">
        <v>2699</v>
      </c>
      <c r="D1683" s="26" t="s">
        <v>2700</v>
      </c>
      <c r="E1683" s="27" t="s">
        <v>453</v>
      </c>
      <c r="F1683" s="42"/>
    </row>
    <row r="1684" spans="2:6" x14ac:dyDescent="0.35">
      <c r="B1684" s="25" t="s">
        <v>360</v>
      </c>
      <c r="C1684" s="27" t="s">
        <v>2701</v>
      </c>
      <c r="D1684" s="26" t="s">
        <v>2702</v>
      </c>
      <c r="E1684" s="27" t="s">
        <v>453</v>
      </c>
      <c r="F1684" s="42"/>
    </row>
    <row r="1685" spans="2:6" x14ac:dyDescent="0.35">
      <c r="B1685" s="25" t="s">
        <v>360</v>
      </c>
      <c r="C1685" s="27" t="s">
        <v>2703</v>
      </c>
      <c r="D1685" s="26" t="s">
        <v>2272</v>
      </c>
      <c r="E1685" s="27" t="s">
        <v>453</v>
      </c>
      <c r="F1685" s="42"/>
    </row>
    <row r="1686" spans="2:6" x14ac:dyDescent="0.35">
      <c r="B1686" s="25" t="s">
        <v>360</v>
      </c>
      <c r="C1686" s="27" t="s">
        <v>2704</v>
      </c>
      <c r="D1686" s="26" t="s">
        <v>2705</v>
      </c>
      <c r="E1686" s="27" t="s">
        <v>453</v>
      </c>
      <c r="F1686" s="42"/>
    </row>
    <row r="1687" spans="2:6" x14ac:dyDescent="0.35">
      <c r="B1687" s="25" t="s">
        <v>360</v>
      </c>
      <c r="C1687" s="27" t="s">
        <v>2706</v>
      </c>
      <c r="D1687" s="26" t="s">
        <v>2707</v>
      </c>
      <c r="E1687" s="27" t="s">
        <v>453</v>
      </c>
      <c r="F1687" s="42"/>
    </row>
    <row r="1688" spans="2:6" x14ac:dyDescent="0.35">
      <c r="B1688" s="25" t="s">
        <v>360</v>
      </c>
      <c r="C1688" s="27" t="s">
        <v>2708</v>
      </c>
      <c r="D1688" s="26" t="s">
        <v>2709</v>
      </c>
      <c r="E1688" s="27" t="s">
        <v>453</v>
      </c>
      <c r="F1688" s="42"/>
    </row>
    <row r="1689" spans="2:6" x14ac:dyDescent="0.35">
      <c r="B1689" s="25" t="s">
        <v>360</v>
      </c>
      <c r="C1689" s="27" t="s">
        <v>2710</v>
      </c>
      <c r="D1689" s="26" t="s">
        <v>2711</v>
      </c>
      <c r="E1689" s="27" t="s">
        <v>453</v>
      </c>
      <c r="F1689" s="42"/>
    </row>
    <row r="1690" spans="2:6" x14ac:dyDescent="0.35">
      <c r="B1690" s="25" t="s">
        <v>360</v>
      </c>
      <c r="C1690" s="27" t="s">
        <v>2712</v>
      </c>
      <c r="D1690" s="26" t="s">
        <v>2713</v>
      </c>
      <c r="E1690" s="27" t="s">
        <v>453</v>
      </c>
      <c r="F1690" s="42"/>
    </row>
    <row r="1691" spans="2:6" x14ac:dyDescent="0.35">
      <c r="B1691" s="25" t="s">
        <v>360</v>
      </c>
      <c r="C1691" s="27" t="s">
        <v>2714</v>
      </c>
      <c r="D1691" s="26" t="s">
        <v>2715</v>
      </c>
      <c r="E1691" s="27" t="s">
        <v>453</v>
      </c>
      <c r="F1691" s="42"/>
    </row>
    <row r="1692" spans="2:6" x14ac:dyDescent="0.35">
      <c r="B1692" s="25" t="s">
        <v>360</v>
      </c>
      <c r="C1692" s="27" t="s">
        <v>2716</v>
      </c>
      <c r="D1692" s="26" t="s">
        <v>2717</v>
      </c>
      <c r="E1692" s="27" t="s">
        <v>453</v>
      </c>
      <c r="F1692" s="42"/>
    </row>
    <row r="1693" spans="2:6" x14ac:dyDescent="0.35">
      <c r="B1693" s="25" t="s">
        <v>360</v>
      </c>
      <c r="C1693" s="27" t="s">
        <v>2718</v>
      </c>
      <c r="D1693" s="26" t="s">
        <v>2719</v>
      </c>
      <c r="E1693" s="27" t="s">
        <v>453</v>
      </c>
      <c r="F1693" s="42"/>
    </row>
    <row r="1694" spans="2:6" x14ac:dyDescent="0.35">
      <c r="B1694" s="25" t="s">
        <v>360</v>
      </c>
      <c r="C1694" s="27" t="s">
        <v>2720</v>
      </c>
      <c r="D1694" s="26" t="s">
        <v>2721</v>
      </c>
      <c r="E1694" s="27" t="s">
        <v>453</v>
      </c>
      <c r="F1694" s="42"/>
    </row>
    <row r="1695" spans="2:6" x14ac:dyDescent="0.35">
      <c r="B1695" s="25" t="s">
        <v>360</v>
      </c>
      <c r="C1695" s="27" t="s">
        <v>2722</v>
      </c>
      <c r="D1695" s="26" t="s">
        <v>2723</v>
      </c>
      <c r="E1695" s="27" t="s">
        <v>453</v>
      </c>
      <c r="F1695" s="42"/>
    </row>
    <row r="1696" spans="2:6" x14ac:dyDescent="0.35">
      <c r="B1696" s="25" t="s">
        <v>360</v>
      </c>
      <c r="C1696" s="27" t="s">
        <v>2724</v>
      </c>
      <c r="D1696" s="26" t="s">
        <v>2188</v>
      </c>
      <c r="E1696" s="27" t="s">
        <v>453</v>
      </c>
      <c r="F1696" s="42"/>
    </row>
    <row r="1697" spans="2:6" x14ac:dyDescent="0.35">
      <c r="B1697" s="25" t="s">
        <v>360</v>
      </c>
      <c r="C1697" s="27" t="s">
        <v>2725</v>
      </c>
      <c r="D1697" s="26" t="s">
        <v>2564</v>
      </c>
      <c r="E1697" s="27" t="s">
        <v>453</v>
      </c>
      <c r="F1697" s="42"/>
    </row>
    <row r="1698" spans="2:6" x14ac:dyDescent="0.35">
      <c r="B1698" s="25" t="s">
        <v>360</v>
      </c>
      <c r="C1698" s="27" t="s">
        <v>2726</v>
      </c>
      <c r="D1698" s="26" t="s">
        <v>2727</v>
      </c>
      <c r="E1698" s="27" t="s">
        <v>453</v>
      </c>
      <c r="F1698" s="42"/>
    </row>
    <row r="1699" spans="2:6" x14ac:dyDescent="0.35">
      <c r="B1699" s="25" t="s">
        <v>360</v>
      </c>
      <c r="C1699" s="27" t="s">
        <v>2728</v>
      </c>
      <c r="D1699" s="26" t="s">
        <v>2729</v>
      </c>
      <c r="E1699" s="27" t="s">
        <v>453</v>
      </c>
      <c r="F1699" s="42"/>
    </row>
    <row r="1700" spans="2:6" x14ac:dyDescent="0.35">
      <c r="B1700" s="25" t="s">
        <v>360</v>
      </c>
      <c r="C1700" s="27" t="s">
        <v>2730</v>
      </c>
      <c r="D1700" s="26" t="s">
        <v>2731</v>
      </c>
      <c r="E1700" s="27" t="s">
        <v>453</v>
      </c>
      <c r="F1700" s="42"/>
    </row>
    <row r="1701" spans="2:6" x14ac:dyDescent="0.35">
      <c r="B1701" s="25" t="s">
        <v>360</v>
      </c>
      <c r="C1701" s="27" t="s">
        <v>2732</v>
      </c>
      <c r="D1701" s="26" t="s">
        <v>2733</v>
      </c>
      <c r="E1701" s="27" t="s">
        <v>453</v>
      </c>
      <c r="F1701" s="42"/>
    </row>
    <row r="1702" spans="2:6" x14ac:dyDescent="0.35">
      <c r="B1702" s="25" t="s">
        <v>360</v>
      </c>
      <c r="C1702" s="27" t="s">
        <v>2734</v>
      </c>
      <c r="D1702" s="26" t="s">
        <v>2735</v>
      </c>
      <c r="E1702" s="27" t="s">
        <v>453</v>
      </c>
      <c r="F1702" s="42"/>
    </row>
    <row r="1703" spans="2:6" x14ac:dyDescent="0.35">
      <c r="B1703" s="25" t="s">
        <v>360</v>
      </c>
      <c r="C1703" s="27" t="s">
        <v>2736</v>
      </c>
      <c r="D1703" s="26" t="s">
        <v>2310</v>
      </c>
      <c r="E1703" s="27" t="s">
        <v>453</v>
      </c>
      <c r="F1703" s="42"/>
    </row>
    <row r="1704" spans="2:6" x14ac:dyDescent="0.35">
      <c r="B1704" s="25" t="s">
        <v>360</v>
      </c>
      <c r="C1704" s="27" t="s">
        <v>2737</v>
      </c>
      <c r="D1704" s="26" t="s">
        <v>2738</v>
      </c>
      <c r="E1704" s="27" t="s">
        <v>453</v>
      </c>
      <c r="F1704" s="42"/>
    </row>
    <row r="1705" spans="2:6" x14ac:dyDescent="0.35">
      <c r="B1705" s="25" t="s">
        <v>360</v>
      </c>
      <c r="C1705" s="27" t="s">
        <v>2739</v>
      </c>
      <c r="D1705" s="26" t="s">
        <v>2740</v>
      </c>
      <c r="E1705" s="27" t="s">
        <v>453</v>
      </c>
      <c r="F1705" s="42"/>
    </row>
    <row r="1706" spans="2:6" x14ac:dyDescent="0.35">
      <c r="B1706" s="25" t="s">
        <v>360</v>
      </c>
      <c r="C1706" s="27" t="s">
        <v>2741</v>
      </c>
      <c r="D1706" s="26" t="s">
        <v>2312</v>
      </c>
      <c r="E1706" s="27" t="s">
        <v>453</v>
      </c>
      <c r="F1706" s="42"/>
    </row>
    <row r="1707" spans="2:6" x14ac:dyDescent="0.35">
      <c r="B1707" s="25" t="s">
        <v>360</v>
      </c>
      <c r="C1707" s="27" t="s">
        <v>2742</v>
      </c>
      <c r="D1707" s="26" t="s">
        <v>2743</v>
      </c>
      <c r="E1707" s="27" t="s">
        <v>453</v>
      </c>
      <c r="F1707" s="42"/>
    </row>
    <row r="1708" spans="2:6" x14ac:dyDescent="0.35">
      <c r="B1708" s="25" t="s">
        <v>360</v>
      </c>
      <c r="C1708" s="27" t="s">
        <v>2744</v>
      </c>
      <c r="D1708" s="26" t="s">
        <v>2745</v>
      </c>
      <c r="E1708" s="27" t="s">
        <v>453</v>
      </c>
      <c r="F1708" s="42"/>
    </row>
    <row r="1709" spans="2:6" x14ac:dyDescent="0.35">
      <c r="B1709" s="25" t="s">
        <v>360</v>
      </c>
      <c r="C1709" s="27" t="s">
        <v>2746</v>
      </c>
      <c r="D1709" s="26" t="s">
        <v>2747</v>
      </c>
      <c r="E1709" s="27" t="s">
        <v>453</v>
      </c>
      <c r="F1709" s="42"/>
    </row>
    <row r="1710" spans="2:6" x14ac:dyDescent="0.35">
      <c r="B1710" s="25" t="s">
        <v>360</v>
      </c>
      <c r="C1710" s="27" t="s">
        <v>2748</v>
      </c>
      <c r="D1710" s="26" t="s">
        <v>2180</v>
      </c>
      <c r="E1710" s="27" t="s">
        <v>453</v>
      </c>
      <c r="F1710" s="42"/>
    </row>
    <row r="1711" spans="2:6" x14ac:dyDescent="0.35">
      <c r="B1711" s="25" t="s">
        <v>360</v>
      </c>
      <c r="C1711" s="27" t="s">
        <v>2749</v>
      </c>
      <c r="D1711" s="26" t="s">
        <v>2750</v>
      </c>
      <c r="E1711" s="27" t="s">
        <v>453</v>
      </c>
      <c r="F1711" s="42"/>
    </row>
    <row r="1712" spans="2:6" x14ac:dyDescent="0.35">
      <c r="B1712" s="25" t="s">
        <v>360</v>
      </c>
      <c r="C1712" s="27" t="s">
        <v>2751</v>
      </c>
      <c r="D1712" s="26" t="s">
        <v>2752</v>
      </c>
      <c r="E1712" s="27" t="s">
        <v>453</v>
      </c>
      <c r="F1712" s="42"/>
    </row>
    <row r="1713" spans="2:6" x14ac:dyDescent="0.35">
      <c r="B1713" s="25" t="s">
        <v>360</v>
      </c>
      <c r="C1713" s="27" t="s">
        <v>2753</v>
      </c>
      <c r="D1713" s="26" t="s">
        <v>2754</v>
      </c>
      <c r="E1713" s="27" t="s">
        <v>453</v>
      </c>
      <c r="F1713" s="42"/>
    </row>
    <row r="1714" spans="2:6" x14ac:dyDescent="0.35">
      <c r="B1714" s="25" t="s">
        <v>360</v>
      </c>
      <c r="C1714" s="27" t="s">
        <v>2755</v>
      </c>
      <c r="D1714" s="26" t="s">
        <v>2756</v>
      </c>
      <c r="E1714" s="27" t="s">
        <v>453</v>
      </c>
      <c r="F1714" s="42"/>
    </row>
    <row r="1715" spans="2:6" x14ac:dyDescent="0.35">
      <c r="B1715" s="25" t="s">
        <v>360</v>
      </c>
      <c r="C1715" s="27" t="s">
        <v>2757</v>
      </c>
      <c r="D1715" s="26" t="s">
        <v>2182</v>
      </c>
      <c r="E1715" s="27" t="s">
        <v>453</v>
      </c>
      <c r="F1715" s="42"/>
    </row>
    <row r="1716" spans="2:6" x14ac:dyDescent="0.35">
      <c r="B1716" s="25" t="s">
        <v>360</v>
      </c>
      <c r="C1716" s="27" t="s">
        <v>2758</v>
      </c>
      <c r="D1716" s="26" t="s">
        <v>2759</v>
      </c>
      <c r="E1716" s="27" t="s">
        <v>453</v>
      </c>
      <c r="F1716" s="42"/>
    </row>
    <row r="1717" spans="2:6" x14ac:dyDescent="0.35">
      <c r="B1717" s="25" t="s">
        <v>360</v>
      </c>
      <c r="C1717" s="27" t="s">
        <v>2760</v>
      </c>
      <c r="D1717" s="26" t="s">
        <v>2761</v>
      </c>
      <c r="E1717" s="27" t="s">
        <v>453</v>
      </c>
      <c r="F1717" s="42"/>
    </row>
    <row r="1718" spans="2:6" x14ac:dyDescent="0.35">
      <c r="B1718" s="25" t="s">
        <v>360</v>
      </c>
      <c r="C1718" s="27" t="s">
        <v>2762</v>
      </c>
      <c r="D1718" s="26" t="s">
        <v>2763</v>
      </c>
      <c r="E1718" s="27" t="s">
        <v>453</v>
      </c>
      <c r="F1718" s="42"/>
    </row>
    <row r="1719" spans="2:6" x14ac:dyDescent="0.35">
      <c r="B1719" s="25" t="s">
        <v>360</v>
      </c>
      <c r="C1719" s="27" t="s">
        <v>2764</v>
      </c>
      <c r="D1719" s="26" t="s">
        <v>2765</v>
      </c>
      <c r="E1719" s="27" t="s">
        <v>453</v>
      </c>
      <c r="F1719" s="42"/>
    </row>
    <row r="1720" spans="2:6" x14ac:dyDescent="0.35">
      <c r="B1720" s="25" t="s">
        <v>360</v>
      </c>
      <c r="C1720" s="27" t="s">
        <v>2766</v>
      </c>
      <c r="D1720" s="26" t="s">
        <v>2767</v>
      </c>
      <c r="E1720" s="27" t="s">
        <v>453</v>
      </c>
      <c r="F1720" s="42"/>
    </row>
    <row r="1721" spans="2:6" x14ac:dyDescent="0.35">
      <c r="B1721" s="25" t="s">
        <v>360</v>
      </c>
      <c r="C1721" s="27" t="s">
        <v>2768</v>
      </c>
      <c r="D1721" s="26" t="s">
        <v>2769</v>
      </c>
      <c r="E1721" s="27" t="s">
        <v>453</v>
      </c>
      <c r="F1721" s="42"/>
    </row>
    <row r="1722" spans="2:6" x14ac:dyDescent="0.35">
      <c r="B1722" s="25" t="s">
        <v>360</v>
      </c>
      <c r="C1722" s="27" t="s">
        <v>2770</v>
      </c>
      <c r="D1722" s="26" t="s">
        <v>2771</v>
      </c>
      <c r="E1722" s="27" t="s">
        <v>453</v>
      </c>
      <c r="F1722" s="42"/>
    </row>
    <row r="1723" spans="2:6" x14ac:dyDescent="0.35">
      <c r="B1723" s="25" t="s">
        <v>360</v>
      </c>
      <c r="C1723" s="27" t="s">
        <v>2772</v>
      </c>
      <c r="D1723" s="26" t="s">
        <v>2773</v>
      </c>
      <c r="E1723" s="27" t="s">
        <v>453</v>
      </c>
      <c r="F1723" s="42"/>
    </row>
    <row r="1724" spans="2:6" x14ac:dyDescent="0.35">
      <c r="B1724" s="25" t="s">
        <v>360</v>
      </c>
      <c r="C1724" s="27" t="s">
        <v>2774</v>
      </c>
      <c r="D1724" s="26" t="s">
        <v>2775</v>
      </c>
      <c r="E1724" s="27" t="s">
        <v>453</v>
      </c>
      <c r="F1724" s="42"/>
    </row>
    <row r="1725" spans="2:6" x14ac:dyDescent="0.35">
      <c r="B1725" s="25" t="s">
        <v>360</v>
      </c>
      <c r="C1725" s="27" t="s">
        <v>2776</v>
      </c>
      <c r="D1725" s="26" t="s">
        <v>2777</v>
      </c>
      <c r="E1725" s="27" t="s">
        <v>453</v>
      </c>
      <c r="F1725" s="42"/>
    </row>
    <row r="1726" spans="2:6" x14ac:dyDescent="0.35">
      <c r="B1726" s="25" t="s">
        <v>360</v>
      </c>
      <c r="C1726" s="27" t="s">
        <v>2778</v>
      </c>
      <c r="D1726" s="26" t="s">
        <v>2485</v>
      </c>
      <c r="E1726" s="27" t="s">
        <v>453</v>
      </c>
      <c r="F1726" s="42"/>
    </row>
    <row r="1727" spans="2:6" x14ac:dyDescent="0.35">
      <c r="B1727" s="25" t="s">
        <v>360</v>
      </c>
      <c r="C1727" s="27" t="s">
        <v>2779</v>
      </c>
      <c r="D1727" s="26" t="s">
        <v>2780</v>
      </c>
      <c r="E1727" s="27" t="s">
        <v>453</v>
      </c>
      <c r="F1727" s="42"/>
    </row>
    <row r="1728" spans="2:6" x14ac:dyDescent="0.35">
      <c r="B1728" s="25" t="s">
        <v>360</v>
      </c>
      <c r="C1728" s="27" t="s">
        <v>2781</v>
      </c>
      <c r="D1728" s="26" t="s">
        <v>2305</v>
      </c>
      <c r="E1728" s="27" t="s">
        <v>453</v>
      </c>
      <c r="F1728" s="42"/>
    </row>
    <row r="1729" spans="2:6" x14ac:dyDescent="0.35">
      <c r="B1729" s="25" t="s">
        <v>360</v>
      </c>
      <c r="C1729" s="27" t="s">
        <v>2782</v>
      </c>
      <c r="D1729" s="26" t="s">
        <v>2783</v>
      </c>
      <c r="E1729" s="27" t="s">
        <v>453</v>
      </c>
      <c r="F1729" s="42"/>
    </row>
    <row r="1730" spans="2:6" x14ac:dyDescent="0.35">
      <c r="B1730" s="25" t="s">
        <v>360</v>
      </c>
      <c r="C1730" s="27" t="s">
        <v>2784</v>
      </c>
      <c r="D1730" s="26" t="s">
        <v>2564</v>
      </c>
      <c r="E1730" s="27" t="s">
        <v>453</v>
      </c>
      <c r="F1730" s="42"/>
    </row>
    <row r="1731" spans="2:6" x14ac:dyDescent="0.35">
      <c r="B1731" s="25" t="s">
        <v>360</v>
      </c>
      <c r="C1731" s="27" t="s">
        <v>2785</v>
      </c>
      <c r="D1731" s="26" t="s">
        <v>2786</v>
      </c>
      <c r="E1731" s="27" t="s">
        <v>453</v>
      </c>
      <c r="F1731" s="42"/>
    </row>
    <row r="1732" spans="2:6" x14ac:dyDescent="0.35">
      <c r="B1732" s="25" t="s">
        <v>360</v>
      </c>
      <c r="C1732" s="27" t="s">
        <v>2787</v>
      </c>
      <c r="D1732" s="26" t="s">
        <v>2788</v>
      </c>
      <c r="E1732" s="27" t="s">
        <v>453</v>
      </c>
      <c r="F1732" s="42"/>
    </row>
    <row r="1733" spans="2:6" x14ac:dyDescent="0.35">
      <c r="B1733" s="25" t="s">
        <v>360</v>
      </c>
      <c r="C1733" s="27" t="s">
        <v>2789</v>
      </c>
      <c r="D1733" s="26" t="s">
        <v>2790</v>
      </c>
      <c r="E1733" s="27" t="s">
        <v>453</v>
      </c>
      <c r="F1733" s="42"/>
    </row>
    <row r="1734" spans="2:6" x14ac:dyDescent="0.35">
      <c r="B1734" s="25" t="s">
        <v>360</v>
      </c>
      <c r="C1734" s="27" t="s">
        <v>2791</v>
      </c>
      <c r="D1734" s="26" t="s">
        <v>2792</v>
      </c>
      <c r="E1734" s="27" t="s">
        <v>453</v>
      </c>
      <c r="F1734" s="42"/>
    </row>
    <row r="1735" spans="2:6" x14ac:dyDescent="0.35">
      <c r="B1735" s="25" t="s">
        <v>360</v>
      </c>
      <c r="C1735" s="27" t="s">
        <v>2793</v>
      </c>
      <c r="D1735" s="26" t="s">
        <v>2180</v>
      </c>
      <c r="E1735" s="27" t="s">
        <v>453</v>
      </c>
      <c r="F1735" s="42"/>
    </row>
    <row r="1736" spans="2:6" x14ac:dyDescent="0.35">
      <c r="B1736" s="25" t="s">
        <v>360</v>
      </c>
      <c r="C1736" s="27" t="s">
        <v>2794</v>
      </c>
      <c r="D1736" s="26" t="s">
        <v>2176</v>
      </c>
      <c r="E1736" s="27" t="s">
        <v>453</v>
      </c>
      <c r="F1736" s="42"/>
    </row>
    <row r="1737" spans="2:6" x14ac:dyDescent="0.35">
      <c r="B1737" s="25" t="s">
        <v>360</v>
      </c>
      <c r="C1737" s="27" t="s">
        <v>2795</v>
      </c>
      <c r="D1737" s="26" t="s">
        <v>2564</v>
      </c>
      <c r="E1737" s="27" t="s">
        <v>453</v>
      </c>
      <c r="F1737" s="42"/>
    </row>
    <row r="1738" spans="2:6" x14ac:dyDescent="0.35">
      <c r="B1738" s="25" t="s">
        <v>360</v>
      </c>
      <c r="C1738" s="27" t="s">
        <v>2796</v>
      </c>
      <c r="D1738" s="26" t="s">
        <v>2797</v>
      </c>
      <c r="E1738" s="27" t="s">
        <v>453</v>
      </c>
      <c r="F1738" s="42"/>
    </row>
    <row r="1739" spans="2:6" x14ac:dyDescent="0.35">
      <c r="B1739" s="25" t="s">
        <v>360</v>
      </c>
      <c r="C1739" s="27" t="s">
        <v>2798</v>
      </c>
      <c r="D1739" s="26" t="s">
        <v>2564</v>
      </c>
      <c r="E1739" s="27" t="s">
        <v>453</v>
      </c>
      <c r="F1739" s="42"/>
    </row>
    <row r="1740" spans="2:6" x14ac:dyDescent="0.35">
      <c r="B1740" s="25" t="s">
        <v>360</v>
      </c>
      <c r="C1740" s="27" t="s">
        <v>2799</v>
      </c>
      <c r="D1740" s="26" t="s">
        <v>2800</v>
      </c>
      <c r="E1740" s="27" t="s">
        <v>453</v>
      </c>
      <c r="F1740" s="42"/>
    </row>
    <row r="1741" spans="2:6" x14ac:dyDescent="0.35">
      <c r="B1741" s="25" t="s">
        <v>360</v>
      </c>
      <c r="C1741" s="27" t="s">
        <v>2801</v>
      </c>
      <c r="D1741" s="26" t="s">
        <v>2802</v>
      </c>
      <c r="E1741" s="27" t="s">
        <v>453</v>
      </c>
      <c r="F1741" s="42"/>
    </row>
    <row r="1742" spans="2:6" x14ac:dyDescent="0.35">
      <c r="B1742" s="25" t="s">
        <v>360</v>
      </c>
      <c r="C1742" s="27" t="s">
        <v>2803</v>
      </c>
      <c r="D1742" s="26" t="s">
        <v>2485</v>
      </c>
      <c r="E1742" s="27" t="s">
        <v>453</v>
      </c>
      <c r="F1742" s="42"/>
    </row>
    <row r="1743" spans="2:6" x14ac:dyDescent="0.35">
      <c r="B1743" s="25" t="s">
        <v>360</v>
      </c>
      <c r="C1743" s="27" t="s">
        <v>2804</v>
      </c>
      <c r="D1743" s="26" t="s">
        <v>2805</v>
      </c>
      <c r="E1743" s="27" t="s">
        <v>453</v>
      </c>
      <c r="F1743" s="42"/>
    </row>
    <row r="1744" spans="2:6" x14ac:dyDescent="0.35">
      <c r="B1744" s="25" t="s">
        <v>360</v>
      </c>
      <c r="C1744" s="27" t="s">
        <v>2806</v>
      </c>
      <c r="D1744" s="26" t="s">
        <v>2807</v>
      </c>
      <c r="E1744" s="27" t="s">
        <v>453</v>
      </c>
      <c r="F1744" s="42"/>
    </row>
    <row r="1745" spans="2:6" x14ac:dyDescent="0.35">
      <c r="B1745" s="25" t="s">
        <v>360</v>
      </c>
      <c r="C1745" s="27" t="s">
        <v>2808</v>
      </c>
      <c r="D1745" s="26" t="s">
        <v>2809</v>
      </c>
      <c r="E1745" s="27" t="s">
        <v>453</v>
      </c>
      <c r="F1745" s="42"/>
    </row>
    <row r="1746" spans="2:6" x14ac:dyDescent="0.35">
      <c r="B1746" s="25" t="s">
        <v>360</v>
      </c>
      <c r="C1746" s="27" t="s">
        <v>2810</v>
      </c>
      <c r="D1746" s="26" t="s">
        <v>2811</v>
      </c>
      <c r="E1746" s="27" t="s">
        <v>453</v>
      </c>
      <c r="F1746" s="42"/>
    </row>
    <row r="1747" spans="2:6" x14ac:dyDescent="0.35">
      <c r="B1747" s="25" t="s">
        <v>360</v>
      </c>
      <c r="C1747" s="27" t="s">
        <v>2812</v>
      </c>
      <c r="D1747" s="26" t="s">
        <v>2717</v>
      </c>
      <c r="E1747" s="27" t="s">
        <v>453</v>
      </c>
      <c r="F1747" s="42"/>
    </row>
    <row r="1748" spans="2:6" x14ac:dyDescent="0.35">
      <c r="B1748" s="25" t="s">
        <v>360</v>
      </c>
      <c r="C1748" s="27" t="s">
        <v>2813</v>
      </c>
      <c r="D1748" s="26" t="s">
        <v>2814</v>
      </c>
      <c r="E1748" s="27" t="s">
        <v>453</v>
      </c>
      <c r="F1748" s="42"/>
    </row>
    <row r="1749" spans="2:6" x14ac:dyDescent="0.35">
      <c r="B1749" s="25" t="s">
        <v>360</v>
      </c>
      <c r="C1749" s="27" t="s">
        <v>2815</v>
      </c>
      <c r="D1749" s="26" t="s">
        <v>2816</v>
      </c>
      <c r="E1749" s="27" t="s">
        <v>453</v>
      </c>
      <c r="F1749" s="42"/>
    </row>
    <row r="1750" spans="2:6" x14ac:dyDescent="0.35">
      <c r="B1750" s="25" t="s">
        <v>360</v>
      </c>
      <c r="C1750" s="27" t="s">
        <v>2817</v>
      </c>
      <c r="D1750" s="26" t="s">
        <v>2818</v>
      </c>
      <c r="E1750" s="27" t="s">
        <v>453</v>
      </c>
      <c r="F1750" s="42"/>
    </row>
    <row r="1751" spans="2:6" x14ac:dyDescent="0.35">
      <c r="B1751" s="25" t="s">
        <v>360</v>
      </c>
      <c r="C1751" s="27" t="s">
        <v>2819</v>
      </c>
      <c r="D1751" s="26" t="s">
        <v>2820</v>
      </c>
      <c r="E1751" s="27" t="s">
        <v>453</v>
      </c>
      <c r="F1751" s="42"/>
    </row>
    <row r="1752" spans="2:6" x14ac:dyDescent="0.35">
      <c r="B1752" s="25" t="s">
        <v>360</v>
      </c>
      <c r="C1752" s="27" t="s">
        <v>2821</v>
      </c>
      <c r="D1752" s="26" t="s">
        <v>2822</v>
      </c>
      <c r="E1752" s="27" t="s">
        <v>453</v>
      </c>
      <c r="F1752" s="42"/>
    </row>
    <row r="1753" spans="2:6" x14ac:dyDescent="0.35">
      <c r="B1753" s="25" t="s">
        <v>360</v>
      </c>
      <c r="C1753" s="27" t="s">
        <v>2823</v>
      </c>
      <c r="D1753" s="26" t="s">
        <v>2824</v>
      </c>
      <c r="E1753" s="27" t="s">
        <v>453</v>
      </c>
      <c r="F1753" s="42"/>
    </row>
    <row r="1754" spans="2:6" x14ac:dyDescent="0.35">
      <c r="B1754" s="25" t="s">
        <v>360</v>
      </c>
      <c r="C1754" s="27" t="s">
        <v>2825</v>
      </c>
      <c r="D1754" s="26" t="s">
        <v>2826</v>
      </c>
      <c r="E1754" s="27" t="s">
        <v>453</v>
      </c>
      <c r="F1754" s="42"/>
    </row>
    <row r="1755" spans="2:6" x14ac:dyDescent="0.35">
      <c r="B1755" s="25" t="s">
        <v>360</v>
      </c>
      <c r="C1755" s="27" t="s">
        <v>2827</v>
      </c>
      <c r="D1755" s="26" t="s">
        <v>2828</v>
      </c>
      <c r="E1755" s="27" t="s">
        <v>453</v>
      </c>
      <c r="F1755" s="42"/>
    </row>
    <row r="1756" spans="2:6" x14ac:dyDescent="0.35">
      <c r="B1756" s="25" t="s">
        <v>360</v>
      </c>
      <c r="C1756" s="27" t="s">
        <v>2829</v>
      </c>
      <c r="D1756" s="26" t="s">
        <v>2830</v>
      </c>
      <c r="E1756" s="27" t="s">
        <v>453</v>
      </c>
      <c r="F1756" s="42"/>
    </row>
    <row r="1757" spans="2:6" x14ac:dyDescent="0.35">
      <c r="B1757" s="25" t="s">
        <v>360</v>
      </c>
      <c r="C1757" s="27" t="s">
        <v>2831</v>
      </c>
      <c r="D1757" s="26" t="s">
        <v>2832</v>
      </c>
      <c r="E1757" s="27" t="s">
        <v>453</v>
      </c>
      <c r="F1757" s="42"/>
    </row>
    <row r="1758" spans="2:6" x14ac:dyDescent="0.35">
      <c r="B1758" s="25" t="s">
        <v>360</v>
      </c>
      <c r="C1758" s="27" t="s">
        <v>2833</v>
      </c>
      <c r="D1758" s="26" t="s">
        <v>2834</v>
      </c>
      <c r="E1758" s="27" t="s">
        <v>453</v>
      </c>
      <c r="F1758" s="42"/>
    </row>
    <row r="1759" spans="2:6" x14ac:dyDescent="0.35">
      <c r="B1759" s="25" t="s">
        <v>360</v>
      </c>
      <c r="C1759" s="27" t="s">
        <v>2835</v>
      </c>
      <c r="D1759" s="26" t="s">
        <v>2415</v>
      </c>
      <c r="E1759" s="27" t="s">
        <v>453</v>
      </c>
      <c r="F1759" s="42"/>
    </row>
    <row r="1760" spans="2:6" x14ac:dyDescent="0.35">
      <c r="B1760" s="25" t="s">
        <v>360</v>
      </c>
      <c r="C1760" s="27" t="s">
        <v>2836</v>
      </c>
      <c r="D1760" s="26" t="s">
        <v>2837</v>
      </c>
      <c r="E1760" s="27" t="s">
        <v>453</v>
      </c>
      <c r="F1760" s="42"/>
    </row>
    <row r="1761" spans="2:6" x14ac:dyDescent="0.35">
      <c r="B1761" s="25" t="s">
        <v>360</v>
      </c>
      <c r="C1761" s="27" t="s">
        <v>2838</v>
      </c>
      <c r="D1761" s="26" t="s">
        <v>2839</v>
      </c>
      <c r="E1761" s="27" t="s">
        <v>453</v>
      </c>
      <c r="F1761" s="42"/>
    </row>
    <row r="1762" spans="2:6" x14ac:dyDescent="0.35">
      <c r="B1762" s="25" t="s">
        <v>360</v>
      </c>
      <c r="C1762" s="27" t="s">
        <v>2840</v>
      </c>
      <c r="D1762" s="26" t="s">
        <v>2841</v>
      </c>
      <c r="E1762" s="27" t="s">
        <v>453</v>
      </c>
      <c r="F1762" s="42"/>
    </row>
    <row r="1763" spans="2:6" x14ac:dyDescent="0.35">
      <c r="B1763" s="25" t="s">
        <v>360</v>
      </c>
      <c r="C1763" s="27" t="s">
        <v>2842</v>
      </c>
      <c r="D1763" s="26" t="s">
        <v>2843</v>
      </c>
      <c r="E1763" s="27" t="s">
        <v>453</v>
      </c>
      <c r="F1763" s="42"/>
    </row>
    <row r="1764" spans="2:6" x14ac:dyDescent="0.35">
      <c r="B1764" s="25" t="s">
        <v>360</v>
      </c>
      <c r="C1764" s="27" t="s">
        <v>2844</v>
      </c>
      <c r="D1764" s="26" t="s">
        <v>2845</v>
      </c>
      <c r="E1764" s="27" t="s">
        <v>453</v>
      </c>
      <c r="F1764" s="42"/>
    </row>
    <row r="1765" spans="2:6" x14ac:dyDescent="0.35">
      <c r="B1765" s="25" t="s">
        <v>360</v>
      </c>
      <c r="C1765" s="27" t="s">
        <v>2846</v>
      </c>
      <c r="D1765" s="26" t="s">
        <v>2847</v>
      </c>
      <c r="E1765" s="27" t="s">
        <v>453</v>
      </c>
      <c r="F1765" s="42"/>
    </row>
    <row r="1766" spans="2:6" x14ac:dyDescent="0.35">
      <c r="B1766" s="25" t="s">
        <v>360</v>
      </c>
      <c r="C1766" s="27" t="s">
        <v>2848</v>
      </c>
      <c r="D1766" s="26" t="s">
        <v>2312</v>
      </c>
      <c r="E1766" s="27" t="s">
        <v>453</v>
      </c>
      <c r="F1766" s="42"/>
    </row>
    <row r="1767" spans="2:6" x14ac:dyDescent="0.35">
      <c r="B1767" s="25" t="s">
        <v>360</v>
      </c>
      <c r="C1767" s="27" t="s">
        <v>2849</v>
      </c>
      <c r="D1767" s="26" t="s">
        <v>2196</v>
      </c>
      <c r="E1767" s="27" t="s">
        <v>453</v>
      </c>
      <c r="F1767" s="42"/>
    </row>
    <row r="1768" spans="2:6" x14ac:dyDescent="0.35">
      <c r="B1768" s="25" t="s">
        <v>360</v>
      </c>
      <c r="C1768" s="27" t="s">
        <v>2850</v>
      </c>
      <c r="D1768" s="26" t="s">
        <v>2851</v>
      </c>
      <c r="E1768" s="27" t="s">
        <v>453</v>
      </c>
      <c r="F1768" s="42"/>
    </row>
    <row r="1769" spans="2:6" x14ac:dyDescent="0.35">
      <c r="B1769" s="25" t="s">
        <v>360</v>
      </c>
      <c r="C1769" s="27" t="s">
        <v>2852</v>
      </c>
      <c r="D1769" s="26" t="s">
        <v>2182</v>
      </c>
      <c r="E1769" s="27" t="s">
        <v>453</v>
      </c>
      <c r="F1769" s="42"/>
    </row>
    <row r="1770" spans="2:6" x14ac:dyDescent="0.35">
      <c r="B1770" s="25" t="s">
        <v>360</v>
      </c>
      <c r="C1770" s="27" t="s">
        <v>2853</v>
      </c>
      <c r="D1770" s="26" t="s">
        <v>2854</v>
      </c>
      <c r="E1770" s="27" t="s">
        <v>453</v>
      </c>
      <c r="F1770" s="42"/>
    </row>
    <row r="1771" spans="2:6" x14ac:dyDescent="0.35">
      <c r="B1771" s="25" t="s">
        <v>360</v>
      </c>
      <c r="C1771" s="27" t="s">
        <v>2855</v>
      </c>
      <c r="D1771" s="26" t="s">
        <v>2856</v>
      </c>
      <c r="E1771" s="27" t="s">
        <v>453</v>
      </c>
      <c r="F1771" s="42"/>
    </row>
    <row r="1772" spans="2:6" x14ac:dyDescent="0.35">
      <c r="B1772" s="25" t="s">
        <v>360</v>
      </c>
      <c r="C1772" s="27" t="s">
        <v>2857</v>
      </c>
      <c r="D1772" s="26" t="s">
        <v>2180</v>
      </c>
      <c r="E1772" s="27" t="s">
        <v>453</v>
      </c>
      <c r="F1772" s="42"/>
    </row>
    <row r="1773" spans="2:6" x14ac:dyDescent="0.35">
      <c r="B1773" s="25" t="s">
        <v>360</v>
      </c>
      <c r="C1773" s="27" t="s">
        <v>2858</v>
      </c>
      <c r="D1773" s="26" t="s">
        <v>2859</v>
      </c>
      <c r="E1773" s="27" t="s">
        <v>453</v>
      </c>
      <c r="F1773" s="42"/>
    </row>
    <row r="1774" spans="2:6" x14ac:dyDescent="0.35">
      <c r="B1774" s="25" t="s">
        <v>360</v>
      </c>
      <c r="C1774" s="27" t="s">
        <v>2860</v>
      </c>
      <c r="D1774" s="26" t="s">
        <v>2861</v>
      </c>
      <c r="E1774" s="27" t="s">
        <v>453</v>
      </c>
      <c r="F1774" s="42"/>
    </row>
    <row r="1775" spans="2:6" x14ac:dyDescent="0.35">
      <c r="B1775" s="25" t="s">
        <v>360</v>
      </c>
      <c r="C1775" s="27" t="s">
        <v>2862</v>
      </c>
      <c r="D1775" s="26" t="s">
        <v>2863</v>
      </c>
      <c r="E1775" s="27" t="s">
        <v>453</v>
      </c>
      <c r="F1775" s="42"/>
    </row>
    <row r="1776" spans="2:6" x14ac:dyDescent="0.35">
      <c r="B1776" s="25" t="s">
        <v>360</v>
      </c>
      <c r="C1776" s="27" t="s">
        <v>2864</v>
      </c>
      <c r="D1776" s="26" t="s">
        <v>2707</v>
      </c>
      <c r="E1776" s="27" t="s">
        <v>453</v>
      </c>
      <c r="F1776" s="42"/>
    </row>
    <row r="1777" spans="2:6" x14ac:dyDescent="0.35">
      <c r="B1777" s="25" t="s">
        <v>360</v>
      </c>
      <c r="C1777" s="27" t="s">
        <v>2865</v>
      </c>
      <c r="D1777" s="26" t="s">
        <v>2866</v>
      </c>
      <c r="E1777" s="27" t="s">
        <v>453</v>
      </c>
      <c r="F1777" s="42"/>
    </row>
    <row r="1778" spans="2:6" x14ac:dyDescent="0.35">
      <c r="B1778" s="25" t="s">
        <v>360</v>
      </c>
      <c r="C1778" s="27" t="s">
        <v>2867</v>
      </c>
      <c r="D1778" s="26" t="s">
        <v>2353</v>
      </c>
      <c r="E1778" s="27" t="s">
        <v>480</v>
      </c>
      <c r="F1778" s="42"/>
    </row>
    <row r="1779" spans="2:6" x14ac:dyDescent="0.35">
      <c r="B1779" s="25" t="s">
        <v>360</v>
      </c>
      <c r="C1779" s="27" t="s">
        <v>2868</v>
      </c>
      <c r="D1779" s="26" t="s">
        <v>2869</v>
      </c>
      <c r="E1779" s="27" t="s">
        <v>453</v>
      </c>
      <c r="F1779" s="42"/>
    </row>
    <row r="1780" spans="2:6" x14ac:dyDescent="0.35">
      <c r="B1780" s="25" t="s">
        <v>360</v>
      </c>
      <c r="C1780" s="27" t="s">
        <v>2870</v>
      </c>
      <c r="D1780" s="26" t="s">
        <v>2717</v>
      </c>
      <c r="E1780" s="27" t="s">
        <v>453</v>
      </c>
      <c r="F1780" s="42"/>
    </row>
    <row r="1781" spans="2:6" x14ac:dyDescent="0.35">
      <c r="B1781" s="25" t="s">
        <v>360</v>
      </c>
      <c r="C1781" s="27" t="s">
        <v>2871</v>
      </c>
      <c r="D1781" s="26" t="s">
        <v>2872</v>
      </c>
      <c r="E1781" s="27" t="s">
        <v>453</v>
      </c>
      <c r="F1781" s="42"/>
    </row>
    <row r="1782" spans="2:6" x14ac:dyDescent="0.35">
      <c r="B1782" s="25" t="s">
        <v>360</v>
      </c>
      <c r="C1782" s="27" t="s">
        <v>2873</v>
      </c>
      <c r="D1782" s="26" t="s">
        <v>2874</v>
      </c>
      <c r="E1782" s="27" t="s">
        <v>453</v>
      </c>
      <c r="F1782" s="42"/>
    </row>
    <row r="1783" spans="2:6" x14ac:dyDescent="0.35">
      <c r="B1783" s="25" t="s">
        <v>360</v>
      </c>
      <c r="C1783" s="27" t="s">
        <v>2875</v>
      </c>
      <c r="D1783" s="26" t="s">
        <v>2876</v>
      </c>
      <c r="E1783" s="27" t="s">
        <v>453</v>
      </c>
      <c r="F1783" s="42"/>
    </row>
    <row r="1784" spans="2:6" x14ac:dyDescent="0.35">
      <c r="B1784" s="25" t="s">
        <v>360</v>
      </c>
      <c r="C1784" s="27" t="s">
        <v>2877</v>
      </c>
      <c r="D1784" s="26" t="s">
        <v>2878</v>
      </c>
      <c r="E1784" s="27" t="s">
        <v>453</v>
      </c>
      <c r="F1784" s="42"/>
    </row>
    <row r="1785" spans="2:6" x14ac:dyDescent="0.35">
      <c r="B1785" s="25" t="s">
        <v>360</v>
      </c>
      <c r="C1785" s="27" t="s">
        <v>2879</v>
      </c>
      <c r="D1785" s="26" t="s">
        <v>2880</v>
      </c>
      <c r="E1785" s="27" t="s">
        <v>453</v>
      </c>
      <c r="F1785" s="42"/>
    </row>
    <row r="1786" spans="2:6" x14ac:dyDescent="0.35">
      <c r="B1786" s="25" t="s">
        <v>360</v>
      </c>
      <c r="C1786" s="27" t="s">
        <v>2881</v>
      </c>
      <c r="D1786" s="26" t="s">
        <v>2089</v>
      </c>
      <c r="E1786" s="27" t="s">
        <v>453</v>
      </c>
      <c r="F1786" s="42"/>
    </row>
    <row r="1787" spans="2:6" x14ac:dyDescent="0.35">
      <c r="B1787" s="25" t="s">
        <v>360</v>
      </c>
      <c r="C1787" s="27" t="s">
        <v>2882</v>
      </c>
      <c r="D1787" s="26" t="s">
        <v>2883</v>
      </c>
      <c r="E1787" s="27" t="s">
        <v>453</v>
      </c>
      <c r="F1787" s="42"/>
    </row>
    <row r="1788" spans="2:6" x14ac:dyDescent="0.35">
      <c r="B1788" s="25" t="s">
        <v>360</v>
      </c>
      <c r="C1788" s="27" t="s">
        <v>2884</v>
      </c>
      <c r="D1788" s="26" t="s">
        <v>2885</v>
      </c>
      <c r="E1788" s="27" t="s">
        <v>453</v>
      </c>
      <c r="F1788" s="42"/>
    </row>
    <row r="1789" spans="2:6" x14ac:dyDescent="0.35">
      <c r="B1789" s="25" t="s">
        <v>360</v>
      </c>
      <c r="C1789" s="27" t="s">
        <v>2886</v>
      </c>
      <c r="D1789" s="26" t="s">
        <v>2887</v>
      </c>
      <c r="E1789" s="27" t="s">
        <v>453</v>
      </c>
      <c r="F1789" s="42"/>
    </row>
    <row r="1790" spans="2:6" x14ac:dyDescent="0.35">
      <c r="B1790" s="25" t="s">
        <v>360</v>
      </c>
      <c r="C1790" s="27" t="s">
        <v>2888</v>
      </c>
      <c r="D1790" s="26" t="s">
        <v>2344</v>
      </c>
      <c r="E1790" s="27" t="s">
        <v>453</v>
      </c>
      <c r="F1790" s="42"/>
    </row>
    <row r="1791" spans="2:6" x14ac:dyDescent="0.35">
      <c r="B1791" s="25" t="s">
        <v>360</v>
      </c>
      <c r="C1791" s="27" t="s">
        <v>2889</v>
      </c>
      <c r="D1791" s="26" t="s">
        <v>2890</v>
      </c>
      <c r="E1791" s="27" t="s">
        <v>453</v>
      </c>
      <c r="F1791" s="42"/>
    </row>
    <row r="1792" spans="2:6" x14ac:dyDescent="0.35">
      <c r="B1792" s="25" t="s">
        <v>360</v>
      </c>
      <c r="C1792" s="27" t="s">
        <v>2891</v>
      </c>
      <c r="D1792" s="26" t="s">
        <v>2892</v>
      </c>
      <c r="E1792" s="27" t="s">
        <v>453</v>
      </c>
      <c r="F1792" s="42"/>
    </row>
    <row r="1793" spans="2:6" x14ac:dyDescent="0.35">
      <c r="B1793" s="25" t="s">
        <v>360</v>
      </c>
      <c r="C1793" s="27" t="s">
        <v>2893</v>
      </c>
      <c r="D1793" s="26" t="s">
        <v>2894</v>
      </c>
      <c r="E1793" s="27" t="s">
        <v>453</v>
      </c>
      <c r="F1793" s="42"/>
    </row>
    <row r="1794" spans="2:6" x14ac:dyDescent="0.35">
      <c r="B1794" s="25" t="s">
        <v>360</v>
      </c>
      <c r="C1794" s="27" t="s">
        <v>2895</v>
      </c>
      <c r="D1794" s="26" t="s">
        <v>2896</v>
      </c>
      <c r="E1794" s="27" t="s">
        <v>453</v>
      </c>
      <c r="F1794" s="42"/>
    </row>
    <row r="1795" spans="2:6" x14ac:dyDescent="0.35">
      <c r="B1795" s="25" t="s">
        <v>360</v>
      </c>
      <c r="C1795" s="27" t="s">
        <v>2897</v>
      </c>
      <c r="D1795" s="26" t="s">
        <v>2898</v>
      </c>
      <c r="E1795" s="27" t="s">
        <v>453</v>
      </c>
      <c r="F1795" s="42"/>
    </row>
    <row r="1796" spans="2:6" x14ac:dyDescent="0.35">
      <c r="B1796" s="25" t="s">
        <v>360</v>
      </c>
      <c r="C1796" s="27" t="s">
        <v>2899</v>
      </c>
      <c r="D1796" s="26" t="s">
        <v>2900</v>
      </c>
      <c r="E1796" s="27" t="s">
        <v>453</v>
      </c>
      <c r="F1796" s="42"/>
    </row>
    <row r="1797" spans="2:6" x14ac:dyDescent="0.35">
      <c r="B1797" s="25" t="s">
        <v>360</v>
      </c>
      <c r="C1797" s="27" t="s">
        <v>2901</v>
      </c>
      <c r="D1797" s="26" t="s">
        <v>2902</v>
      </c>
      <c r="E1797" s="27" t="s">
        <v>453</v>
      </c>
      <c r="F1797" s="42"/>
    </row>
    <row r="1798" spans="2:6" x14ac:dyDescent="0.35">
      <c r="B1798" s="25" t="s">
        <v>360</v>
      </c>
      <c r="C1798" s="27" t="s">
        <v>2903</v>
      </c>
      <c r="D1798" s="26" t="s">
        <v>2904</v>
      </c>
      <c r="E1798" s="27" t="s">
        <v>453</v>
      </c>
      <c r="F1798" s="42"/>
    </row>
    <row r="1799" spans="2:6" x14ac:dyDescent="0.35">
      <c r="B1799" s="25" t="s">
        <v>360</v>
      </c>
      <c r="C1799" s="27" t="s">
        <v>2905</v>
      </c>
      <c r="D1799" s="26" t="s">
        <v>2759</v>
      </c>
      <c r="E1799" s="27" t="s">
        <v>453</v>
      </c>
      <c r="F1799" s="42"/>
    </row>
    <row r="1800" spans="2:6" x14ac:dyDescent="0.35">
      <c r="B1800" s="25" t="s">
        <v>360</v>
      </c>
      <c r="C1800" s="27" t="s">
        <v>2906</v>
      </c>
      <c r="D1800" s="26" t="s">
        <v>2907</v>
      </c>
      <c r="E1800" s="27" t="s">
        <v>453</v>
      </c>
      <c r="F1800" s="42"/>
    </row>
    <row r="1801" spans="2:6" x14ac:dyDescent="0.35">
      <c r="B1801" s="25" t="s">
        <v>360</v>
      </c>
      <c r="C1801" s="27" t="s">
        <v>2908</v>
      </c>
      <c r="D1801" s="26" t="s">
        <v>2909</v>
      </c>
      <c r="E1801" s="27" t="s">
        <v>453</v>
      </c>
      <c r="F1801" s="42"/>
    </row>
    <row r="1802" spans="2:6" x14ac:dyDescent="0.35">
      <c r="B1802" s="25" t="s">
        <v>360</v>
      </c>
      <c r="C1802" s="27" t="s">
        <v>2910</v>
      </c>
      <c r="D1802" s="26" t="s">
        <v>2305</v>
      </c>
      <c r="E1802" s="27" t="s">
        <v>453</v>
      </c>
      <c r="F1802" s="42"/>
    </row>
    <row r="1803" spans="2:6" x14ac:dyDescent="0.35">
      <c r="B1803" s="25" t="s">
        <v>360</v>
      </c>
      <c r="C1803" s="27" t="s">
        <v>2911</v>
      </c>
      <c r="D1803" s="26" t="s">
        <v>2721</v>
      </c>
      <c r="E1803" s="27" t="s">
        <v>453</v>
      </c>
      <c r="F1803" s="42"/>
    </row>
    <row r="1804" spans="2:6" x14ac:dyDescent="0.35">
      <c r="B1804" s="25" t="s">
        <v>360</v>
      </c>
      <c r="C1804" s="27" t="s">
        <v>2912</v>
      </c>
      <c r="D1804" s="26" t="s">
        <v>2489</v>
      </c>
      <c r="E1804" s="27" t="s">
        <v>453</v>
      </c>
      <c r="F1804" s="42"/>
    </row>
    <row r="1805" spans="2:6" x14ac:dyDescent="0.35">
      <c r="B1805" s="25" t="s">
        <v>360</v>
      </c>
      <c r="C1805" s="27" t="s">
        <v>2913</v>
      </c>
      <c r="D1805" s="26" t="s">
        <v>2914</v>
      </c>
      <c r="E1805" s="27" t="s">
        <v>453</v>
      </c>
      <c r="F1805" s="42"/>
    </row>
    <row r="1806" spans="2:6" x14ac:dyDescent="0.35">
      <c r="B1806" s="25" t="s">
        <v>360</v>
      </c>
      <c r="C1806" s="27" t="s">
        <v>2915</v>
      </c>
      <c r="D1806" s="26" t="s">
        <v>2916</v>
      </c>
      <c r="E1806" s="27" t="s">
        <v>453</v>
      </c>
      <c r="F1806" s="42"/>
    </row>
    <row r="1807" spans="2:6" x14ac:dyDescent="0.35">
      <c r="B1807" s="25" t="s">
        <v>360</v>
      </c>
      <c r="C1807" s="27" t="s">
        <v>2917</v>
      </c>
      <c r="D1807" s="26" t="s">
        <v>2182</v>
      </c>
      <c r="E1807" s="27" t="s">
        <v>453</v>
      </c>
      <c r="F1807" s="42"/>
    </row>
    <row r="1808" spans="2:6" x14ac:dyDescent="0.35">
      <c r="B1808" s="25" t="s">
        <v>360</v>
      </c>
      <c r="C1808" s="27" t="s">
        <v>2918</v>
      </c>
      <c r="D1808" s="26" t="s">
        <v>2919</v>
      </c>
      <c r="E1808" s="27" t="s">
        <v>453</v>
      </c>
      <c r="F1808" s="42"/>
    </row>
    <row r="1809" spans="2:6" x14ac:dyDescent="0.35">
      <c r="B1809" s="25" t="s">
        <v>360</v>
      </c>
      <c r="C1809" s="27" t="s">
        <v>2920</v>
      </c>
      <c r="D1809" s="26" t="s">
        <v>2921</v>
      </c>
      <c r="E1809" s="27" t="s">
        <v>453</v>
      </c>
      <c r="F1809" s="42"/>
    </row>
    <row r="1810" spans="2:6" x14ac:dyDescent="0.35">
      <c r="B1810" s="25" t="s">
        <v>360</v>
      </c>
      <c r="C1810" s="27" t="s">
        <v>2922</v>
      </c>
      <c r="D1810" s="26" t="s">
        <v>2923</v>
      </c>
      <c r="E1810" s="27" t="s">
        <v>453</v>
      </c>
      <c r="F1810" s="42"/>
    </row>
    <row r="1811" spans="2:6" x14ac:dyDescent="0.35">
      <c r="B1811" s="25" t="s">
        <v>360</v>
      </c>
      <c r="C1811" s="27" t="s">
        <v>2924</v>
      </c>
      <c r="D1811" s="26" t="s">
        <v>2925</v>
      </c>
      <c r="E1811" s="27" t="s">
        <v>453</v>
      </c>
      <c r="F1811" s="42"/>
    </row>
    <row r="1812" spans="2:6" x14ac:dyDescent="0.35">
      <c r="B1812" s="25" t="s">
        <v>360</v>
      </c>
      <c r="C1812" s="27" t="s">
        <v>2926</v>
      </c>
      <c r="D1812" s="26" t="s">
        <v>2134</v>
      </c>
      <c r="E1812" s="27" t="s">
        <v>453</v>
      </c>
      <c r="F1812" s="42"/>
    </row>
    <row r="1813" spans="2:6" x14ac:dyDescent="0.35">
      <c r="B1813" s="25" t="s">
        <v>360</v>
      </c>
      <c r="C1813" s="27" t="s">
        <v>2927</v>
      </c>
      <c r="D1813" s="26" t="s">
        <v>2928</v>
      </c>
      <c r="E1813" s="27" t="s">
        <v>453</v>
      </c>
      <c r="F1813" s="42"/>
    </row>
    <row r="1814" spans="2:6" x14ac:dyDescent="0.35">
      <c r="B1814" s="25" t="s">
        <v>360</v>
      </c>
      <c r="C1814" s="27" t="s">
        <v>2929</v>
      </c>
      <c r="D1814" s="26" t="s">
        <v>2930</v>
      </c>
      <c r="E1814" s="27" t="s">
        <v>453</v>
      </c>
      <c r="F1814" s="42"/>
    </row>
    <row r="1815" spans="2:6" x14ac:dyDescent="0.35">
      <c r="B1815" s="25" t="s">
        <v>360</v>
      </c>
      <c r="C1815" s="27" t="s">
        <v>2931</v>
      </c>
      <c r="D1815" s="26" t="s">
        <v>2932</v>
      </c>
      <c r="E1815" s="27" t="s">
        <v>453</v>
      </c>
      <c r="F1815" s="42"/>
    </row>
    <row r="1816" spans="2:6" x14ac:dyDescent="0.35">
      <c r="B1816" s="25" t="s">
        <v>360</v>
      </c>
      <c r="C1816" s="27" t="s">
        <v>2933</v>
      </c>
      <c r="D1816" s="26" t="s">
        <v>2934</v>
      </c>
      <c r="E1816" s="27" t="s">
        <v>453</v>
      </c>
      <c r="F1816" s="42"/>
    </row>
    <row r="1817" spans="2:6" x14ac:dyDescent="0.35">
      <c r="B1817" s="25" t="s">
        <v>360</v>
      </c>
      <c r="C1817" s="27" t="s">
        <v>2935</v>
      </c>
      <c r="D1817" s="26" t="s">
        <v>2936</v>
      </c>
      <c r="E1817" s="27" t="s">
        <v>453</v>
      </c>
      <c r="F1817" s="42"/>
    </row>
    <row r="1818" spans="2:6" x14ac:dyDescent="0.35">
      <c r="B1818" s="25" t="s">
        <v>360</v>
      </c>
      <c r="C1818" s="27" t="s">
        <v>2937</v>
      </c>
      <c r="D1818" s="26" t="s">
        <v>2938</v>
      </c>
      <c r="E1818" s="27" t="s">
        <v>453</v>
      </c>
      <c r="F1818" s="42"/>
    </row>
    <row r="1819" spans="2:6" x14ac:dyDescent="0.35">
      <c r="B1819" s="25" t="s">
        <v>360</v>
      </c>
      <c r="C1819" s="27" t="s">
        <v>2939</v>
      </c>
      <c r="D1819" s="26" t="s">
        <v>2940</v>
      </c>
      <c r="E1819" s="27" t="s">
        <v>453</v>
      </c>
      <c r="F1819" s="42"/>
    </row>
    <row r="1820" spans="2:6" x14ac:dyDescent="0.35">
      <c r="B1820" s="25" t="s">
        <v>360</v>
      </c>
      <c r="C1820" s="27" t="s">
        <v>2941</v>
      </c>
      <c r="D1820" s="26" t="s">
        <v>2942</v>
      </c>
      <c r="E1820" s="27" t="s">
        <v>453</v>
      </c>
      <c r="F1820" s="42"/>
    </row>
    <row r="1821" spans="2:6" x14ac:dyDescent="0.35">
      <c r="B1821" s="25" t="s">
        <v>360</v>
      </c>
      <c r="C1821" s="27" t="s">
        <v>2943</v>
      </c>
      <c r="D1821" s="26" t="s">
        <v>2944</v>
      </c>
      <c r="E1821" s="27" t="s">
        <v>453</v>
      </c>
      <c r="F1821" s="42"/>
    </row>
    <row r="1822" spans="2:6" x14ac:dyDescent="0.35">
      <c r="B1822" s="25" t="s">
        <v>360</v>
      </c>
      <c r="C1822" s="27" t="s">
        <v>2945</v>
      </c>
      <c r="D1822" s="26" t="s">
        <v>2946</v>
      </c>
      <c r="E1822" s="27" t="s">
        <v>453</v>
      </c>
      <c r="F1822" s="42"/>
    </row>
    <row r="1823" spans="2:6" x14ac:dyDescent="0.35">
      <c r="B1823" s="25" t="s">
        <v>360</v>
      </c>
      <c r="C1823" s="27" t="s">
        <v>2947</v>
      </c>
      <c r="D1823" s="26" t="s">
        <v>2948</v>
      </c>
      <c r="E1823" s="27" t="s">
        <v>453</v>
      </c>
      <c r="F1823" s="42"/>
    </row>
    <row r="1824" spans="2:6" x14ac:dyDescent="0.35">
      <c r="B1824" s="25" t="s">
        <v>360</v>
      </c>
      <c r="C1824" s="27" t="s">
        <v>2949</v>
      </c>
      <c r="D1824" s="26" t="s">
        <v>2950</v>
      </c>
      <c r="E1824" s="27" t="s">
        <v>453</v>
      </c>
      <c r="F1824" s="42"/>
    </row>
    <row r="1825" spans="2:6" x14ac:dyDescent="0.35">
      <c r="B1825" s="25" t="s">
        <v>360</v>
      </c>
      <c r="C1825" s="27" t="s">
        <v>2951</v>
      </c>
      <c r="D1825" s="26" t="s">
        <v>2952</v>
      </c>
      <c r="E1825" s="27" t="s">
        <v>453</v>
      </c>
      <c r="F1825" s="42"/>
    </row>
    <row r="1826" spans="2:6" x14ac:dyDescent="0.35">
      <c r="B1826" s="25" t="s">
        <v>360</v>
      </c>
      <c r="C1826" s="27" t="s">
        <v>2953</v>
      </c>
      <c r="D1826" s="26" t="s">
        <v>2402</v>
      </c>
      <c r="E1826" s="27" t="s">
        <v>453</v>
      </c>
      <c r="F1826" s="42"/>
    </row>
    <row r="1827" spans="2:6" x14ac:dyDescent="0.35">
      <c r="B1827" s="25" t="s">
        <v>360</v>
      </c>
      <c r="C1827" s="27" t="s">
        <v>2954</v>
      </c>
      <c r="D1827" s="26" t="s">
        <v>2955</v>
      </c>
      <c r="E1827" s="27" t="s">
        <v>453</v>
      </c>
      <c r="F1827" s="42"/>
    </row>
    <row r="1828" spans="2:6" x14ac:dyDescent="0.35">
      <c r="B1828" s="25" t="s">
        <v>360</v>
      </c>
      <c r="C1828" s="27" t="s">
        <v>2956</v>
      </c>
      <c r="D1828" s="26" t="s">
        <v>2957</v>
      </c>
      <c r="E1828" s="27" t="s">
        <v>453</v>
      </c>
      <c r="F1828" s="42"/>
    </row>
    <row r="1829" spans="2:6" x14ac:dyDescent="0.35">
      <c r="B1829" s="25" t="s">
        <v>360</v>
      </c>
      <c r="C1829" s="27" t="s">
        <v>2958</v>
      </c>
      <c r="D1829" s="26" t="s">
        <v>2540</v>
      </c>
      <c r="E1829" s="27" t="s">
        <v>453</v>
      </c>
      <c r="F1829" s="42"/>
    </row>
    <row r="1830" spans="2:6" x14ac:dyDescent="0.35">
      <c r="B1830" s="25" t="s">
        <v>360</v>
      </c>
      <c r="C1830" s="27" t="s">
        <v>2959</v>
      </c>
      <c r="D1830" s="26" t="s">
        <v>2960</v>
      </c>
      <c r="E1830" s="27" t="s">
        <v>453</v>
      </c>
      <c r="F1830" s="42"/>
    </row>
    <row r="1831" spans="2:6" x14ac:dyDescent="0.35">
      <c r="B1831" s="25" t="s">
        <v>360</v>
      </c>
      <c r="C1831" s="27" t="s">
        <v>2961</v>
      </c>
      <c r="D1831" s="26" t="s">
        <v>2180</v>
      </c>
      <c r="E1831" s="27" t="s">
        <v>453</v>
      </c>
      <c r="F1831" s="42"/>
    </row>
    <row r="1832" spans="2:6" x14ac:dyDescent="0.35">
      <c r="B1832" s="25" t="s">
        <v>360</v>
      </c>
      <c r="C1832" s="27" t="s">
        <v>2962</v>
      </c>
      <c r="D1832" s="26" t="s">
        <v>2963</v>
      </c>
      <c r="E1832" s="27" t="s">
        <v>453</v>
      </c>
      <c r="F1832" s="42"/>
    </row>
    <row r="1833" spans="2:6" x14ac:dyDescent="0.35">
      <c r="B1833" s="25" t="s">
        <v>360</v>
      </c>
      <c r="C1833" s="27" t="s">
        <v>2964</v>
      </c>
      <c r="D1833" s="26" t="s">
        <v>2965</v>
      </c>
      <c r="E1833" s="27" t="s">
        <v>453</v>
      </c>
      <c r="F1833" s="42"/>
    </row>
    <row r="1834" spans="2:6" x14ac:dyDescent="0.35">
      <c r="B1834" s="25" t="s">
        <v>360</v>
      </c>
      <c r="C1834" s="27" t="s">
        <v>2966</v>
      </c>
      <c r="D1834" s="26" t="s">
        <v>2688</v>
      </c>
      <c r="E1834" s="27" t="s">
        <v>453</v>
      </c>
      <c r="F1834" s="42"/>
    </row>
    <row r="1835" spans="2:6" x14ac:dyDescent="0.35">
      <c r="B1835" s="25" t="s">
        <v>360</v>
      </c>
      <c r="C1835" s="27" t="s">
        <v>2967</v>
      </c>
      <c r="D1835" s="26" t="s">
        <v>2968</v>
      </c>
      <c r="E1835" s="27" t="s">
        <v>453</v>
      </c>
      <c r="F1835" s="42"/>
    </row>
    <row r="1836" spans="2:6" x14ac:dyDescent="0.35">
      <c r="B1836" s="25" t="s">
        <v>360</v>
      </c>
      <c r="C1836" s="27" t="s">
        <v>2969</v>
      </c>
      <c r="D1836" s="26" t="s">
        <v>2970</v>
      </c>
      <c r="E1836" s="27" t="s">
        <v>453</v>
      </c>
      <c r="F1836" s="42"/>
    </row>
    <row r="1837" spans="2:6" x14ac:dyDescent="0.35">
      <c r="B1837" s="25" t="s">
        <v>360</v>
      </c>
      <c r="C1837" s="27" t="s">
        <v>2971</v>
      </c>
      <c r="D1837" s="26" t="s">
        <v>2972</v>
      </c>
      <c r="E1837" s="27" t="s">
        <v>453</v>
      </c>
      <c r="F1837" s="42"/>
    </row>
    <row r="1838" spans="2:6" x14ac:dyDescent="0.35">
      <c r="B1838" s="25" t="s">
        <v>360</v>
      </c>
      <c r="C1838" s="27" t="s">
        <v>2973</v>
      </c>
      <c r="D1838" s="26" t="s">
        <v>2974</v>
      </c>
      <c r="E1838" s="27" t="s">
        <v>453</v>
      </c>
      <c r="F1838" s="42"/>
    </row>
    <row r="1839" spans="2:6" x14ac:dyDescent="0.35">
      <c r="B1839" s="25" t="s">
        <v>360</v>
      </c>
      <c r="C1839" s="27" t="s">
        <v>2975</v>
      </c>
      <c r="D1839" s="26" t="s">
        <v>2976</v>
      </c>
      <c r="E1839" s="27" t="s">
        <v>453</v>
      </c>
      <c r="F1839" s="42"/>
    </row>
    <row r="1840" spans="2:6" x14ac:dyDescent="0.35">
      <c r="B1840" s="25" t="s">
        <v>360</v>
      </c>
      <c r="C1840" s="27" t="s">
        <v>2977</v>
      </c>
      <c r="D1840" s="26" t="s">
        <v>2978</v>
      </c>
      <c r="E1840" s="27" t="s">
        <v>453</v>
      </c>
      <c r="F1840" s="42"/>
    </row>
    <row r="1841" spans="2:6" x14ac:dyDescent="0.35">
      <c r="B1841" s="25" t="s">
        <v>360</v>
      </c>
      <c r="C1841" s="27" t="s">
        <v>2979</v>
      </c>
      <c r="D1841" s="26" t="s">
        <v>2305</v>
      </c>
      <c r="E1841" s="27" t="s">
        <v>453</v>
      </c>
      <c r="F1841" s="42"/>
    </row>
    <row r="1842" spans="2:6" x14ac:dyDescent="0.35">
      <c r="B1842" s="25" t="s">
        <v>360</v>
      </c>
      <c r="C1842" s="27" t="s">
        <v>2980</v>
      </c>
      <c r="D1842" s="26" t="s">
        <v>2981</v>
      </c>
      <c r="E1842" s="27" t="s">
        <v>453</v>
      </c>
      <c r="F1842" s="42"/>
    </row>
    <row r="1843" spans="2:6" x14ac:dyDescent="0.35">
      <c r="B1843" s="25" t="s">
        <v>360</v>
      </c>
      <c r="C1843" s="27" t="s">
        <v>2982</v>
      </c>
      <c r="D1843" s="26" t="s">
        <v>2983</v>
      </c>
      <c r="E1843" s="27" t="s">
        <v>453</v>
      </c>
      <c r="F1843" s="42"/>
    </row>
    <row r="1844" spans="2:6" x14ac:dyDescent="0.35">
      <c r="B1844" s="25" t="s">
        <v>360</v>
      </c>
      <c r="C1844" s="27" t="s">
        <v>2984</v>
      </c>
      <c r="D1844" s="26" t="s">
        <v>2985</v>
      </c>
      <c r="E1844" s="27" t="s">
        <v>453</v>
      </c>
      <c r="F1844" s="42"/>
    </row>
    <row r="1845" spans="2:6" x14ac:dyDescent="0.35">
      <c r="B1845" s="25" t="s">
        <v>360</v>
      </c>
      <c r="C1845" s="27" t="s">
        <v>2986</v>
      </c>
      <c r="D1845" s="26" t="s">
        <v>2987</v>
      </c>
      <c r="E1845" s="27" t="s">
        <v>453</v>
      </c>
      <c r="F1845" s="42"/>
    </row>
    <row r="1846" spans="2:6" x14ac:dyDescent="0.35">
      <c r="B1846" s="25" t="s">
        <v>360</v>
      </c>
      <c r="C1846" s="27" t="s">
        <v>2988</v>
      </c>
      <c r="D1846" s="26" t="s">
        <v>2989</v>
      </c>
      <c r="E1846" s="27" t="s">
        <v>453</v>
      </c>
      <c r="F1846" s="42"/>
    </row>
    <row r="1847" spans="2:6" x14ac:dyDescent="0.35">
      <c r="B1847" s="25" t="s">
        <v>360</v>
      </c>
      <c r="C1847" s="27" t="s">
        <v>2990</v>
      </c>
      <c r="D1847" s="26" t="s">
        <v>2991</v>
      </c>
      <c r="E1847" s="27" t="s">
        <v>453</v>
      </c>
      <c r="F1847" s="42"/>
    </row>
    <row r="1848" spans="2:6" x14ac:dyDescent="0.35">
      <c r="B1848" s="25" t="s">
        <v>360</v>
      </c>
      <c r="C1848" s="27" t="s">
        <v>2992</v>
      </c>
      <c r="D1848" s="26" t="s">
        <v>2993</v>
      </c>
      <c r="E1848" s="27" t="s">
        <v>453</v>
      </c>
      <c r="F1848" s="42"/>
    </row>
    <row r="1849" spans="2:6" x14ac:dyDescent="0.35">
      <c r="B1849" s="25" t="s">
        <v>360</v>
      </c>
      <c r="C1849" s="27" t="s">
        <v>2994</v>
      </c>
      <c r="D1849" s="26" t="s">
        <v>2995</v>
      </c>
      <c r="E1849" s="27" t="s">
        <v>453</v>
      </c>
      <c r="F1849" s="42"/>
    </row>
    <row r="1850" spans="2:6" x14ac:dyDescent="0.35">
      <c r="B1850" s="25" t="s">
        <v>360</v>
      </c>
      <c r="C1850" s="27" t="s">
        <v>2996</v>
      </c>
      <c r="D1850" s="26" t="s">
        <v>2869</v>
      </c>
      <c r="E1850" s="27" t="s">
        <v>453</v>
      </c>
      <c r="F1850" s="42"/>
    </row>
    <row r="1851" spans="2:6" x14ac:dyDescent="0.35">
      <c r="B1851" s="25" t="s">
        <v>360</v>
      </c>
      <c r="C1851" s="27" t="s">
        <v>2997</v>
      </c>
      <c r="D1851" s="26" t="s">
        <v>2998</v>
      </c>
      <c r="E1851" s="27" t="s">
        <v>453</v>
      </c>
      <c r="F1851" s="42"/>
    </row>
    <row r="1852" spans="2:6" x14ac:dyDescent="0.35">
      <c r="B1852" s="25" t="s">
        <v>360</v>
      </c>
      <c r="C1852" s="27" t="s">
        <v>2999</v>
      </c>
      <c r="D1852" s="26" t="s">
        <v>3000</v>
      </c>
      <c r="E1852" s="27" t="s">
        <v>453</v>
      </c>
      <c r="F1852" s="42"/>
    </row>
    <row r="1853" spans="2:6" x14ac:dyDescent="0.35">
      <c r="B1853" s="25" t="s">
        <v>360</v>
      </c>
      <c r="C1853" s="27" t="s">
        <v>3001</v>
      </c>
      <c r="D1853" s="26" t="s">
        <v>2944</v>
      </c>
      <c r="E1853" s="27" t="s">
        <v>453</v>
      </c>
      <c r="F1853" s="42"/>
    </row>
    <row r="1854" spans="2:6" x14ac:dyDescent="0.35">
      <c r="B1854" s="25" t="s">
        <v>360</v>
      </c>
      <c r="C1854" s="27" t="s">
        <v>3002</v>
      </c>
      <c r="D1854" s="26" t="s">
        <v>3003</v>
      </c>
      <c r="E1854" s="27" t="s">
        <v>453</v>
      </c>
      <c r="F1854" s="42"/>
    </row>
    <row r="1855" spans="2:6" x14ac:dyDescent="0.35">
      <c r="B1855" s="25" t="s">
        <v>360</v>
      </c>
      <c r="C1855" s="27" t="s">
        <v>3004</v>
      </c>
      <c r="D1855" s="26" t="s">
        <v>3005</v>
      </c>
      <c r="E1855" s="27" t="s">
        <v>453</v>
      </c>
      <c r="F1855" s="42"/>
    </row>
    <row r="1856" spans="2:6" x14ac:dyDescent="0.35">
      <c r="B1856" s="25" t="s">
        <v>360</v>
      </c>
      <c r="C1856" s="27" t="s">
        <v>3006</v>
      </c>
      <c r="D1856" s="26" t="s">
        <v>3007</v>
      </c>
      <c r="E1856" s="27" t="s">
        <v>453</v>
      </c>
      <c r="F1856" s="42"/>
    </row>
    <row r="1857" spans="2:6" x14ac:dyDescent="0.35">
      <c r="B1857" s="25" t="s">
        <v>360</v>
      </c>
      <c r="C1857" s="27" t="s">
        <v>3008</v>
      </c>
      <c r="D1857" s="26" t="s">
        <v>2717</v>
      </c>
      <c r="E1857" s="27" t="s">
        <v>453</v>
      </c>
      <c r="F1857" s="42"/>
    </row>
    <row r="1858" spans="2:6" x14ac:dyDescent="0.35">
      <c r="B1858" s="25" t="s">
        <v>360</v>
      </c>
      <c r="C1858" s="27" t="s">
        <v>3009</v>
      </c>
      <c r="D1858" s="26" t="s">
        <v>3010</v>
      </c>
      <c r="E1858" s="27" t="s">
        <v>453</v>
      </c>
      <c r="F1858" s="42"/>
    </row>
    <row r="1859" spans="2:6" x14ac:dyDescent="0.35">
      <c r="B1859" s="25" t="s">
        <v>360</v>
      </c>
      <c r="C1859" s="27" t="s">
        <v>3011</v>
      </c>
      <c r="D1859" s="26" t="s">
        <v>3012</v>
      </c>
      <c r="E1859" s="27" t="s">
        <v>453</v>
      </c>
      <c r="F1859" s="42"/>
    </row>
    <row r="1860" spans="2:6" x14ac:dyDescent="0.35">
      <c r="B1860" s="25" t="s">
        <v>360</v>
      </c>
      <c r="C1860" s="27" t="s">
        <v>3013</v>
      </c>
      <c r="D1860" s="26" t="s">
        <v>3014</v>
      </c>
      <c r="E1860" s="27" t="s">
        <v>453</v>
      </c>
      <c r="F1860" s="42"/>
    </row>
    <row r="1861" spans="2:6" x14ac:dyDescent="0.35">
      <c r="B1861" s="25" t="s">
        <v>360</v>
      </c>
      <c r="C1861" s="27" t="s">
        <v>3015</v>
      </c>
      <c r="D1861" s="26" t="s">
        <v>2099</v>
      </c>
      <c r="E1861" s="27" t="s">
        <v>453</v>
      </c>
      <c r="F1861" s="42"/>
    </row>
    <row r="1862" spans="2:6" x14ac:dyDescent="0.35">
      <c r="B1862" s="25" t="s">
        <v>360</v>
      </c>
      <c r="C1862" s="27" t="s">
        <v>3016</v>
      </c>
      <c r="D1862" s="26" t="s">
        <v>3017</v>
      </c>
      <c r="E1862" s="27" t="s">
        <v>453</v>
      </c>
      <c r="F1862" s="42"/>
    </row>
    <row r="1863" spans="2:6" x14ac:dyDescent="0.35">
      <c r="B1863" s="25" t="s">
        <v>360</v>
      </c>
      <c r="C1863" s="27" t="s">
        <v>3018</v>
      </c>
      <c r="D1863" s="26" t="s">
        <v>3019</v>
      </c>
      <c r="E1863" s="27" t="s">
        <v>453</v>
      </c>
      <c r="F1863" s="42"/>
    </row>
    <row r="1864" spans="2:6" x14ac:dyDescent="0.35">
      <c r="B1864" s="25" t="s">
        <v>360</v>
      </c>
      <c r="C1864" s="27" t="s">
        <v>3020</v>
      </c>
      <c r="D1864" s="26" t="s">
        <v>3021</v>
      </c>
      <c r="E1864" s="27" t="s">
        <v>453</v>
      </c>
      <c r="F1864" s="42"/>
    </row>
    <row r="1865" spans="2:6" x14ac:dyDescent="0.35">
      <c r="B1865" s="25" t="s">
        <v>360</v>
      </c>
      <c r="C1865" s="27" t="s">
        <v>3022</v>
      </c>
      <c r="D1865" s="26" t="s">
        <v>3023</v>
      </c>
      <c r="E1865" s="27" t="s">
        <v>453</v>
      </c>
      <c r="F1865" s="42"/>
    </row>
    <row r="1866" spans="2:6" x14ac:dyDescent="0.35">
      <c r="B1866" s="25" t="s">
        <v>360</v>
      </c>
      <c r="C1866" s="27" t="s">
        <v>3024</v>
      </c>
      <c r="D1866" s="26" t="s">
        <v>3025</v>
      </c>
      <c r="E1866" s="27" t="s">
        <v>453</v>
      </c>
      <c r="F1866" s="42"/>
    </row>
    <row r="1867" spans="2:6" x14ac:dyDescent="0.35">
      <c r="B1867" s="25" t="s">
        <v>360</v>
      </c>
      <c r="C1867" s="27" t="s">
        <v>3026</v>
      </c>
      <c r="D1867" s="26" t="s">
        <v>3027</v>
      </c>
      <c r="E1867" s="27" t="s">
        <v>453</v>
      </c>
      <c r="F1867" s="42"/>
    </row>
    <row r="1868" spans="2:6" x14ac:dyDescent="0.35">
      <c r="B1868" s="25" t="s">
        <v>360</v>
      </c>
      <c r="C1868" s="27" t="s">
        <v>3028</v>
      </c>
      <c r="D1868" s="26" t="s">
        <v>3029</v>
      </c>
      <c r="E1868" s="27" t="s">
        <v>453</v>
      </c>
      <c r="F1868" s="42"/>
    </row>
    <row r="1869" spans="2:6" x14ac:dyDescent="0.35">
      <c r="B1869" s="25" t="s">
        <v>360</v>
      </c>
      <c r="C1869" s="27" t="s">
        <v>3030</v>
      </c>
      <c r="D1869" s="26" t="s">
        <v>3031</v>
      </c>
      <c r="E1869" s="27" t="s">
        <v>453</v>
      </c>
      <c r="F1869" s="42"/>
    </row>
    <row r="1870" spans="2:6" x14ac:dyDescent="0.35">
      <c r="B1870" s="25" t="s">
        <v>360</v>
      </c>
      <c r="C1870" s="27" t="s">
        <v>3032</v>
      </c>
      <c r="D1870" s="26" t="s">
        <v>3033</v>
      </c>
      <c r="E1870" s="27" t="s">
        <v>453</v>
      </c>
      <c r="F1870" s="42"/>
    </row>
    <row r="1871" spans="2:6" x14ac:dyDescent="0.35">
      <c r="B1871" s="25" t="s">
        <v>360</v>
      </c>
      <c r="C1871" s="27" t="s">
        <v>3034</v>
      </c>
      <c r="D1871" s="26" t="s">
        <v>3035</v>
      </c>
      <c r="E1871" s="27" t="s">
        <v>453</v>
      </c>
      <c r="F1871" s="42"/>
    </row>
    <row r="1872" spans="2:6" x14ac:dyDescent="0.35">
      <c r="B1872" s="25" t="s">
        <v>360</v>
      </c>
      <c r="C1872" s="27" t="s">
        <v>3036</v>
      </c>
      <c r="D1872" s="26" t="s">
        <v>3037</v>
      </c>
      <c r="E1872" s="27" t="s">
        <v>453</v>
      </c>
      <c r="F1872" s="42"/>
    </row>
    <row r="1873" spans="2:6" x14ac:dyDescent="0.35">
      <c r="B1873" s="25" t="s">
        <v>360</v>
      </c>
      <c r="C1873" s="27" t="s">
        <v>3038</v>
      </c>
      <c r="D1873" s="26" t="s">
        <v>2564</v>
      </c>
      <c r="E1873" s="27" t="s">
        <v>453</v>
      </c>
      <c r="F1873" s="42"/>
    </row>
    <row r="1874" spans="2:6" x14ac:dyDescent="0.35">
      <c r="B1874" s="25" t="s">
        <v>360</v>
      </c>
      <c r="C1874" s="27" t="s">
        <v>3039</v>
      </c>
      <c r="D1874" s="26" t="s">
        <v>3040</v>
      </c>
      <c r="E1874" s="27" t="s">
        <v>453</v>
      </c>
      <c r="F1874" s="42"/>
    </row>
    <row r="1875" spans="2:6" x14ac:dyDescent="0.35">
      <c r="B1875" s="25" t="s">
        <v>360</v>
      </c>
      <c r="C1875" s="27" t="s">
        <v>3041</v>
      </c>
      <c r="D1875" s="26" t="s">
        <v>3042</v>
      </c>
      <c r="E1875" s="27" t="s">
        <v>453</v>
      </c>
      <c r="F1875" s="42"/>
    </row>
    <row r="1876" spans="2:6" x14ac:dyDescent="0.35">
      <c r="B1876" s="25" t="s">
        <v>360</v>
      </c>
      <c r="C1876" s="27" t="s">
        <v>3043</v>
      </c>
      <c r="D1876" s="26" t="s">
        <v>3044</v>
      </c>
      <c r="E1876" s="27" t="s">
        <v>453</v>
      </c>
      <c r="F1876" s="42"/>
    </row>
    <row r="1877" spans="2:6" x14ac:dyDescent="0.35">
      <c r="B1877" s="25" t="s">
        <v>360</v>
      </c>
      <c r="C1877" s="27" t="s">
        <v>3045</v>
      </c>
      <c r="D1877" s="26" t="s">
        <v>3046</v>
      </c>
      <c r="E1877" s="27" t="s">
        <v>453</v>
      </c>
      <c r="F1877" s="42"/>
    </row>
    <row r="1878" spans="2:6" x14ac:dyDescent="0.35">
      <c r="B1878" s="25" t="s">
        <v>360</v>
      </c>
      <c r="C1878" s="27" t="s">
        <v>3047</v>
      </c>
      <c r="D1878" s="26" t="s">
        <v>3048</v>
      </c>
      <c r="E1878" s="27" t="s">
        <v>480</v>
      </c>
      <c r="F1878" s="42"/>
    </row>
    <row r="1879" spans="2:6" x14ac:dyDescent="0.35">
      <c r="B1879" s="25" t="s">
        <v>360</v>
      </c>
      <c r="C1879" s="27" t="s">
        <v>3049</v>
      </c>
      <c r="D1879" s="26" t="s">
        <v>3050</v>
      </c>
      <c r="E1879" s="27" t="s">
        <v>453</v>
      </c>
      <c r="F1879" s="42"/>
    </row>
    <row r="1880" spans="2:6" x14ac:dyDescent="0.35">
      <c r="B1880" s="25" t="s">
        <v>360</v>
      </c>
      <c r="C1880" s="27" t="s">
        <v>3051</v>
      </c>
      <c r="D1880" s="26" t="s">
        <v>3052</v>
      </c>
      <c r="E1880" s="27" t="s">
        <v>453</v>
      </c>
      <c r="F1880" s="42"/>
    </row>
    <row r="1881" spans="2:6" x14ac:dyDescent="0.35">
      <c r="B1881" s="25" t="s">
        <v>360</v>
      </c>
      <c r="C1881" s="27" t="s">
        <v>3053</v>
      </c>
      <c r="D1881" s="26" t="s">
        <v>2596</v>
      </c>
      <c r="E1881" s="27" t="s">
        <v>453</v>
      </c>
      <c r="F1881" s="42"/>
    </row>
    <row r="1882" spans="2:6" x14ac:dyDescent="0.35">
      <c r="B1882" s="25" t="s">
        <v>360</v>
      </c>
      <c r="C1882" s="27" t="s">
        <v>3054</v>
      </c>
      <c r="D1882" s="26" t="s">
        <v>3055</v>
      </c>
      <c r="E1882" s="27" t="s">
        <v>453</v>
      </c>
      <c r="F1882" s="42"/>
    </row>
    <row r="1883" spans="2:6" x14ac:dyDescent="0.35">
      <c r="B1883" s="25" t="s">
        <v>360</v>
      </c>
      <c r="C1883" s="27" t="s">
        <v>3056</v>
      </c>
      <c r="D1883" s="26" t="s">
        <v>3057</v>
      </c>
      <c r="E1883" s="27" t="s">
        <v>453</v>
      </c>
      <c r="F1883" s="42"/>
    </row>
    <row r="1884" spans="2:6" x14ac:dyDescent="0.35">
      <c r="B1884" s="25" t="s">
        <v>360</v>
      </c>
      <c r="C1884" s="27" t="s">
        <v>3058</v>
      </c>
      <c r="D1884" s="26" t="s">
        <v>2887</v>
      </c>
      <c r="E1884" s="27" t="s">
        <v>453</v>
      </c>
      <c r="F1884" s="42"/>
    </row>
    <row r="1885" spans="2:6" x14ac:dyDescent="0.35">
      <c r="B1885" s="25" t="s">
        <v>360</v>
      </c>
      <c r="C1885" s="27" t="s">
        <v>3059</v>
      </c>
      <c r="D1885" s="26" t="s">
        <v>3060</v>
      </c>
      <c r="E1885" s="27" t="s">
        <v>453</v>
      </c>
      <c r="F1885" s="42"/>
    </row>
    <row r="1886" spans="2:6" x14ac:dyDescent="0.35">
      <c r="B1886" s="25" t="s">
        <v>360</v>
      </c>
      <c r="C1886" s="27" t="s">
        <v>3061</v>
      </c>
      <c r="D1886" s="26" t="s">
        <v>3062</v>
      </c>
      <c r="E1886" s="27" t="s">
        <v>453</v>
      </c>
      <c r="F1886" s="42"/>
    </row>
    <row r="1887" spans="2:6" x14ac:dyDescent="0.35">
      <c r="B1887" s="25" t="s">
        <v>360</v>
      </c>
      <c r="C1887" s="27" t="s">
        <v>3063</v>
      </c>
      <c r="D1887" s="26" t="s">
        <v>3064</v>
      </c>
      <c r="E1887" s="27" t="s">
        <v>453</v>
      </c>
      <c r="F1887" s="42"/>
    </row>
    <row r="1888" spans="2:6" x14ac:dyDescent="0.35">
      <c r="B1888" s="25" t="s">
        <v>360</v>
      </c>
      <c r="C1888" s="27" t="s">
        <v>3065</v>
      </c>
      <c r="D1888" s="26" t="s">
        <v>3066</v>
      </c>
      <c r="E1888" s="27" t="s">
        <v>453</v>
      </c>
      <c r="F1888" s="42"/>
    </row>
    <row r="1889" spans="2:6" x14ac:dyDescent="0.35">
      <c r="B1889" s="25" t="s">
        <v>360</v>
      </c>
      <c r="C1889" s="27" t="s">
        <v>3067</v>
      </c>
      <c r="D1889" s="26" t="s">
        <v>3068</v>
      </c>
      <c r="E1889" s="27" t="s">
        <v>453</v>
      </c>
      <c r="F1889" s="42"/>
    </row>
    <row r="1890" spans="2:6" x14ac:dyDescent="0.35">
      <c r="B1890" s="25" t="s">
        <v>360</v>
      </c>
      <c r="C1890" s="27" t="s">
        <v>3069</v>
      </c>
      <c r="D1890" s="26" t="s">
        <v>3070</v>
      </c>
      <c r="E1890" s="27" t="s">
        <v>453</v>
      </c>
      <c r="F1890" s="42"/>
    </row>
    <row r="1891" spans="2:6" x14ac:dyDescent="0.35">
      <c r="B1891" s="25" t="s">
        <v>360</v>
      </c>
      <c r="C1891" s="27" t="s">
        <v>3071</v>
      </c>
      <c r="D1891" s="26" t="s">
        <v>2190</v>
      </c>
      <c r="E1891" s="27" t="s">
        <v>453</v>
      </c>
      <c r="F1891" s="42"/>
    </row>
    <row r="1892" spans="2:6" x14ac:dyDescent="0.35">
      <c r="B1892" s="25" t="s">
        <v>360</v>
      </c>
      <c r="C1892" s="27" t="s">
        <v>3072</v>
      </c>
      <c r="D1892" s="26" t="s">
        <v>3073</v>
      </c>
      <c r="E1892" s="27" t="s">
        <v>453</v>
      </c>
      <c r="F1892" s="42"/>
    </row>
    <row r="1893" spans="2:6" x14ac:dyDescent="0.35">
      <c r="B1893" s="25" t="s">
        <v>360</v>
      </c>
      <c r="C1893" s="27" t="s">
        <v>3074</v>
      </c>
      <c r="D1893" s="26" t="s">
        <v>2407</v>
      </c>
      <c r="E1893" s="27" t="s">
        <v>453</v>
      </c>
      <c r="F1893" s="42"/>
    </row>
    <row r="1894" spans="2:6" x14ac:dyDescent="0.35">
      <c r="B1894" s="25" t="s">
        <v>360</v>
      </c>
      <c r="C1894" s="27" t="s">
        <v>3075</v>
      </c>
      <c r="D1894" s="26" t="s">
        <v>3076</v>
      </c>
      <c r="E1894" s="27" t="s">
        <v>453</v>
      </c>
      <c r="F1894" s="42"/>
    </row>
    <row r="1895" spans="2:6" x14ac:dyDescent="0.35">
      <c r="B1895" s="25" t="s">
        <v>360</v>
      </c>
      <c r="C1895" s="27" t="s">
        <v>3077</v>
      </c>
      <c r="D1895" s="26" t="s">
        <v>3078</v>
      </c>
      <c r="E1895" s="27" t="s">
        <v>453</v>
      </c>
      <c r="F1895" s="42"/>
    </row>
    <row r="1896" spans="2:6" ht="29" x14ac:dyDescent="0.35">
      <c r="B1896" s="25" t="s">
        <v>327</v>
      </c>
      <c r="C1896" s="27">
        <v>0</v>
      </c>
      <c r="D1896" s="26" t="s">
        <v>3079</v>
      </c>
      <c r="E1896" s="27">
        <v>1</v>
      </c>
      <c r="F1896" s="42"/>
    </row>
    <row r="1897" spans="2:6" x14ac:dyDescent="0.35">
      <c r="B1897" s="25" t="s">
        <v>327</v>
      </c>
      <c r="C1897" s="27">
        <v>1</v>
      </c>
      <c r="D1897" s="26" t="s">
        <v>3080</v>
      </c>
      <c r="E1897" s="27">
        <v>1</v>
      </c>
      <c r="F1897" s="42"/>
    </row>
    <row r="1898" spans="2:6" x14ac:dyDescent="0.35">
      <c r="B1898" s="25" t="s">
        <v>327</v>
      </c>
      <c r="C1898" s="27">
        <v>2</v>
      </c>
      <c r="D1898" s="26" t="s">
        <v>3081</v>
      </c>
      <c r="E1898" s="27">
        <v>1</v>
      </c>
      <c r="F1898" s="42"/>
    </row>
    <row r="1899" spans="2:6" ht="29" x14ac:dyDescent="0.35">
      <c r="B1899" s="25" t="s">
        <v>327</v>
      </c>
      <c r="C1899" s="27">
        <v>3</v>
      </c>
      <c r="D1899" s="26" t="s">
        <v>3082</v>
      </c>
      <c r="E1899" s="27">
        <v>1</v>
      </c>
      <c r="F1899" s="42"/>
    </row>
    <row r="1900" spans="2:6" ht="29" x14ac:dyDescent="0.35">
      <c r="B1900" s="25" t="s">
        <v>327</v>
      </c>
      <c r="C1900" s="27">
        <v>4</v>
      </c>
      <c r="D1900" s="26" t="s">
        <v>3083</v>
      </c>
      <c r="E1900" s="27">
        <v>1</v>
      </c>
      <c r="F1900" s="42" t="s">
        <v>3084</v>
      </c>
    </row>
    <row r="1901" spans="2:6" ht="29" x14ac:dyDescent="0.35">
      <c r="B1901" s="25" t="s">
        <v>327</v>
      </c>
      <c r="C1901" s="27">
        <v>5</v>
      </c>
      <c r="D1901" s="26" t="s">
        <v>1289</v>
      </c>
      <c r="E1901" s="27">
        <v>1</v>
      </c>
      <c r="F1901" s="42" t="s">
        <v>3084</v>
      </c>
    </row>
    <row r="1902" spans="2:6" ht="29" x14ac:dyDescent="0.35">
      <c r="B1902" s="25" t="s">
        <v>327</v>
      </c>
      <c r="C1902" s="27">
        <v>6</v>
      </c>
      <c r="D1902" s="26" t="s">
        <v>3085</v>
      </c>
      <c r="E1902" s="27">
        <v>1</v>
      </c>
      <c r="F1902" s="42" t="s">
        <v>3084</v>
      </c>
    </row>
    <row r="1903" spans="2:6" x14ac:dyDescent="0.35">
      <c r="B1903" s="25" t="s">
        <v>327</v>
      </c>
      <c r="C1903" s="27">
        <v>7</v>
      </c>
      <c r="D1903" s="26" t="s">
        <v>3086</v>
      </c>
      <c r="E1903" s="27">
        <v>1</v>
      </c>
      <c r="F1903" s="42"/>
    </row>
    <row r="1904" spans="2:6" ht="130.5" x14ac:dyDescent="0.35">
      <c r="B1904" s="25" t="s">
        <v>327</v>
      </c>
      <c r="C1904" s="27">
        <v>8</v>
      </c>
      <c r="D1904" s="26" t="s">
        <v>3087</v>
      </c>
      <c r="E1904" s="27">
        <v>1</v>
      </c>
      <c r="F1904" s="42" t="s">
        <v>3088</v>
      </c>
    </row>
    <row r="1905" spans="2:6" x14ac:dyDescent="0.35">
      <c r="B1905" s="25" t="s">
        <v>327</v>
      </c>
      <c r="C1905" s="27">
        <v>9</v>
      </c>
      <c r="D1905" s="26" t="s">
        <v>3089</v>
      </c>
      <c r="E1905" s="27">
        <v>1</v>
      </c>
      <c r="F1905" s="42"/>
    </row>
    <row r="1906" spans="2:6" x14ac:dyDescent="0.35">
      <c r="B1906" s="25" t="s">
        <v>327</v>
      </c>
      <c r="C1906" s="27">
        <v>10</v>
      </c>
      <c r="D1906" s="26" t="s">
        <v>3090</v>
      </c>
      <c r="E1906" s="27">
        <v>1</v>
      </c>
      <c r="F1906" s="42"/>
    </row>
    <row r="1907" spans="2:6" x14ac:dyDescent="0.35">
      <c r="B1907" s="25" t="s">
        <v>327</v>
      </c>
      <c r="C1907" s="27">
        <v>11</v>
      </c>
      <c r="D1907" s="26" t="s">
        <v>3091</v>
      </c>
      <c r="E1907" s="27">
        <v>1</v>
      </c>
      <c r="F1907" s="42"/>
    </row>
    <row r="1908" spans="2:6" x14ac:dyDescent="0.35">
      <c r="B1908" s="29" t="s">
        <v>405</v>
      </c>
      <c r="C1908" s="30">
        <v>1</v>
      </c>
      <c r="D1908" s="31" t="s">
        <v>3092</v>
      </c>
      <c r="E1908" s="30" t="s">
        <v>453</v>
      </c>
      <c r="F1908" s="32"/>
    </row>
    <row r="1909" spans="2:6" x14ac:dyDescent="0.35">
      <c r="B1909" s="29" t="s">
        <v>405</v>
      </c>
      <c r="C1909" s="30">
        <v>2</v>
      </c>
      <c r="D1909" s="31" t="s">
        <v>3093</v>
      </c>
      <c r="E1909" s="30" t="s">
        <v>453</v>
      </c>
      <c r="F1909" s="32"/>
    </row>
    <row r="1910" spans="2:6" x14ac:dyDescent="0.35">
      <c r="B1910" s="29" t="s">
        <v>405</v>
      </c>
      <c r="C1910" s="30">
        <v>3</v>
      </c>
      <c r="D1910" s="31" t="s">
        <v>3094</v>
      </c>
      <c r="E1910" s="30" t="s">
        <v>453</v>
      </c>
      <c r="F1910" s="32"/>
    </row>
    <row r="1911" spans="2:6" x14ac:dyDescent="0.35">
      <c r="B1911" s="29" t="s">
        <v>405</v>
      </c>
      <c r="C1911" s="30">
        <v>4</v>
      </c>
      <c r="D1911" s="31" t="s">
        <v>3095</v>
      </c>
      <c r="E1911" s="30" t="s">
        <v>453</v>
      </c>
      <c r="F1911" s="32"/>
    </row>
    <row r="1912" spans="2:6" ht="29" x14ac:dyDescent="0.35">
      <c r="B1912" s="29" t="s">
        <v>339</v>
      </c>
      <c r="C1912" s="30">
        <v>0</v>
      </c>
      <c r="D1912" s="31" t="s">
        <v>3096</v>
      </c>
      <c r="E1912" s="30">
        <v>1</v>
      </c>
      <c r="F1912" s="32"/>
    </row>
    <row r="1913" spans="2:6" ht="29" x14ac:dyDescent="0.35">
      <c r="B1913" s="29" t="s">
        <v>339</v>
      </c>
      <c r="C1913" s="30">
        <v>1</v>
      </c>
      <c r="D1913" s="31" t="s">
        <v>3097</v>
      </c>
      <c r="E1913" s="30">
        <v>1</v>
      </c>
      <c r="F1913" s="32"/>
    </row>
    <row r="1914" spans="2:6" ht="29" x14ac:dyDescent="0.35">
      <c r="B1914" s="29" t="s">
        <v>339</v>
      </c>
      <c r="C1914" s="30">
        <v>2</v>
      </c>
      <c r="D1914" s="31" t="s">
        <v>3098</v>
      </c>
      <c r="E1914" s="30">
        <v>1</v>
      </c>
      <c r="F1914" s="32"/>
    </row>
    <row r="1915" spans="2:6" ht="29" x14ac:dyDescent="0.35">
      <c r="B1915" s="29" t="s">
        <v>339</v>
      </c>
      <c r="C1915" s="30">
        <v>3</v>
      </c>
      <c r="D1915" s="31" t="s">
        <v>3099</v>
      </c>
      <c r="E1915" s="30">
        <v>1</v>
      </c>
      <c r="F1915" s="32"/>
    </row>
    <row r="1916" spans="2:6" ht="29" x14ac:dyDescent="0.35">
      <c r="B1916" s="29" t="s">
        <v>339</v>
      </c>
      <c r="C1916" s="30">
        <v>4</v>
      </c>
      <c r="D1916" s="31" t="s">
        <v>3100</v>
      </c>
      <c r="E1916" s="30">
        <v>1</v>
      </c>
      <c r="F1916" s="32"/>
    </row>
    <row r="1917" spans="2:6" ht="29" x14ac:dyDescent="0.35">
      <c r="B1917" s="29" t="s">
        <v>339</v>
      </c>
      <c r="C1917" s="30">
        <v>5</v>
      </c>
      <c r="D1917" s="31" t="s">
        <v>3101</v>
      </c>
      <c r="E1917" s="30">
        <v>1</v>
      </c>
      <c r="F1917" s="32"/>
    </row>
    <row r="1918" spans="2:6" x14ac:dyDescent="0.35">
      <c r="B1918" s="29" t="s">
        <v>339</v>
      </c>
      <c r="C1918" s="30">
        <v>6</v>
      </c>
      <c r="D1918" s="31" t="s">
        <v>3102</v>
      </c>
      <c r="E1918" s="30">
        <v>1</v>
      </c>
      <c r="F1918" s="32"/>
    </row>
    <row r="1919" spans="2:6" x14ac:dyDescent="0.35">
      <c r="B1919" s="29" t="s">
        <v>339</v>
      </c>
      <c r="C1919" s="30">
        <v>7</v>
      </c>
      <c r="D1919" s="31" t="s">
        <v>3103</v>
      </c>
      <c r="E1919" s="30">
        <v>1</v>
      </c>
      <c r="F1919" s="32"/>
    </row>
    <row r="1920" spans="2:6" x14ac:dyDescent="0.35">
      <c r="B1920" s="29" t="s">
        <v>339</v>
      </c>
      <c r="C1920" s="30">
        <v>8</v>
      </c>
      <c r="D1920" s="31" t="s">
        <v>3104</v>
      </c>
      <c r="E1920" s="30">
        <v>1</v>
      </c>
      <c r="F1920" s="32"/>
    </row>
  </sheetData>
  <sheetProtection algorithmName="SHA-512" hashValue="wvLxER7h3enfIvJ7xrCX59hcRNvUdpAX8HOJS5Bm0i5qBljB4s+rcHkgb+sKCCrgddB8FogBxMWqV7ol6g7tlQ==" saltValue="TJyRZyGri3Tvq4srgrZSnw==" spinCount="100000" sheet="1" objects="1" scenarios="1" formatCells="0" formatColumns="0" formatRows="0" insertHyperlinks="0" autoFilter="0"/>
  <hyperlinks>
    <hyperlink ref="A1" location="INDICE!A1" tooltip="INDICE" display="INDICE" xr:uid="{5F5719CB-9F44-4942-A7F9-414CC45B0DB3}"/>
    <hyperlink ref="A2" location="TABLAS!A1" tooltip="TABLAS" display="TABLAS" xr:uid="{98211365-66DA-4F8A-8490-B787DD80789D}"/>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C14A-5070-4C5B-9BFA-AAA6FEC32CD6}">
  <sheetPr codeName="Hoja72">
    <tabColor rgb="FF00B050"/>
  </sheetPr>
  <dimension ref="A1:G184"/>
  <sheetViews>
    <sheetView showGridLines="0" zoomScale="125" zoomScaleNormal="125" workbookViewId="0"/>
  </sheetViews>
  <sheetFormatPr baseColWidth="10" defaultColWidth="11.453125" defaultRowHeight="14.5" x14ac:dyDescent="0.35"/>
  <cols>
    <col min="1" max="1" width="15.453125" style="9" customWidth="1"/>
    <col min="2" max="2" width="21" style="9" customWidth="1"/>
    <col min="3" max="3" width="13.453125" style="9" customWidth="1"/>
    <col min="4" max="5" width="11.453125" style="9"/>
    <col min="6" max="6" width="12.453125" style="9" customWidth="1"/>
    <col min="7" max="7" width="27.453125" style="19" bestFit="1" customWidth="1"/>
    <col min="8" max="16384" width="11.453125" style="9"/>
  </cols>
  <sheetData>
    <row r="1" spans="1:7" x14ac:dyDescent="0.35">
      <c r="A1" s="60" t="s">
        <v>3105</v>
      </c>
      <c r="B1" s="60" t="s">
        <v>3106</v>
      </c>
      <c r="C1" s="60" t="s">
        <v>3107</v>
      </c>
      <c r="D1" s="60" t="s">
        <v>3108</v>
      </c>
      <c r="E1" s="60" t="s">
        <v>3109</v>
      </c>
      <c r="F1" s="60" t="s">
        <v>3110</v>
      </c>
      <c r="G1" s="61" t="s">
        <v>3111</v>
      </c>
    </row>
    <row r="2" spans="1:7" x14ac:dyDescent="0.35">
      <c r="A2" s="62">
        <v>1</v>
      </c>
      <c r="B2" s="63" t="s">
        <v>3112</v>
      </c>
      <c r="C2" s="62" t="s">
        <v>3113</v>
      </c>
      <c r="D2" s="62" t="s">
        <v>453</v>
      </c>
      <c r="E2" s="62" t="s">
        <v>453</v>
      </c>
      <c r="F2" s="62" t="s">
        <v>3114</v>
      </c>
      <c r="G2" s="64" t="s">
        <v>3115</v>
      </c>
    </row>
    <row r="3" spans="1:7" x14ac:dyDescent="0.35">
      <c r="A3" s="62">
        <v>2</v>
      </c>
      <c r="B3" s="63" t="s">
        <v>3116</v>
      </c>
      <c r="C3" s="62" t="s">
        <v>928</v>
      </c>
      <c r="D3" s="62" t="s">
        <v>453</v>
      </c>
      <c r="E3" s="62" t="s">
        <v>3117</v>
      </c>
      <c r="F3" s="62" t="s">
        <v>3118</v>
      </c>
      <c r="G3" s="64" t="s">
        <v>3119</v>
      </c>
    </row>
    <row r="4" spans="1:7" x14ac:dyDescent="0.35">
      <c r="A4" s="62">
        <v>3</v>
      </c>
      <c r="B4" s="63" t="s">
        <v>3120</v>
      </c>
      <c r="C4" s="62" t="s">
        <v>928</v>
      </c>
      <c r="D4" s="62" t="s">
        <v>453</v>
      </c>
      <c r="E4" s="62" t="s">
        <v>3121</v>
      </c>
      <c r="F4" s="62" t="s">
        <v>3122</v>
      </c>
      <c r="G4" s="64" t="s">
        <v>3123</v>
      </c>
    </row>
    <row r="5" spans="1:7" x14ac:dyDescent="0.35">
      <c r="A5" s="62">
        <v>4</v>
      </c>
      <c r="B5" s="63" t="s">
        <v>3124</v>
      </c>
      <c r="C5" s="62" t="s">
        <v>3113</v>
      </c>
      <c r="D5" s="62" t="s">
        <v>453</v>
      </c>
      <c r="E5" s="62" t="s">
        <v>3125</v>
      </c>
      <c r="F5" s="62" t="s">
        <v>3126</v>
      </c>
      <c r="G5" s="64" t="s">
        <v>3127</v>
      </c>
    </row>
    <row r="6" spans="1:7" x14ac:dyDescent="0.35">
      <c r="A6" s="62">
        <v>5</v>
      </c>
      <c r="B6" s="63" t="s">
        <v>3128</v>
      </c>
      <c r="C6" s="62" t="s">
        <v>928</v>
      </c>
      <c r="D6" s="62" t="s">
        <v>453</v>
      </c>
      <c r="E6" s="62" t="s">
        <v>3129</v>
      </c>
      <c r="F6" s="62" t="s">
        <v>3130</v>
      </c>
      <c r="G6" s="64" t="s">
        <v>3131</v>
      </c>
    </row>
    <row r="7" spans="1:7" x14ac:dyDescent="0.35">
      <c r="A7" s="62">
        <v>6</v>
      </c>
      <c r="B7" s="63" t="s">
        <v>3132</v>
      </c>
      <c r="C7" s="62" t="s">
        <v>928</v>
      </c>
      <c r="D7" s="62" t="s">
        <v>453</v>
      </c>
      <c r="E7" s="62" t="s">
        <v>3133</v>
      </c>
      <c r="F7" s="62" t="s">
        <v>3134</v>
      </c>
      <c r="G7" s="64" t="s">
        <v>3135</v>
      </c>
    </row>
    <row r="8" spans="1:7" x14ac:dyDescent="0.35">
      <c r="A8" s="62">
        <v>7</v>
      </c>
      <c r="B8" s="63" t="s">
        <v>3136</v>
      </c>
      <c r="C8" s="62" t="s">
        <v>928</v>
      </c>
      <c r="D8" s="62" t="s">
        <v>453</v>
      </c>
      <c r="E8" s="62" t="s">
        <v>3137</v>
      </c>
      <c r="F8" s="62" t="s">
        <v>3138</v>
      </c>
      <c r="G8" s="64" t="s">
        <v>3139</v>
      </c>
    </row>
    <row r="9" spans="1:7" x14ac:dyDescent="0.35">
      <c r="A9" s="62">
        <v>8</v>
      </c>
      <c r="B9" s="63" t="s">
        <v>3140</v>
      </c>
      <c r="C9" s="62" t="s">
        <v>928</v>
      </c>
      <c r="D9" s="62" t="s">
        <v>453</v>
      </c>
      <c r="E9" s="62" t="s">
        <v>3141</v>
      </c>
      <c r="F9" s="62" t="s">
        <v>3142</v>
      </c>
      <c r="G9" s="64" t="s">
        <v>3143</v>
      </c>
    </row>
    <row r="10" spans="1:7" x14ac:dyDescent="0.35">
      <c r="A10" s="62">
        <v>9</v>
      </c>
      <c r="B10" s="63" t="s">
        <v>3144</v>
      </c>
      <c r="C10" s="62" t="s">
        <v>928</v>
      </c>
      <c r="D10" s="62" t="s">
        <v>453</v>
      </c>
      <c r="E10" s="62" t="s">
        <v>3145</v>
      </c>
      <c r="F10" s="62" t="s">
        <v>3146</v>
      </c>
      <c r="G10" s="64" t="s">
        <v>3147</v>
      </c>
    </row>
    <row r="11" spans="1:7" x14ac:dyDescent="0.35">
      <c r="A11" s="62">
        <v>10</v>
      </c>
      <c r="B11" s="63" t="s">
        <v>3148</v>
      </c>
      <c r="C11" s="62" t="s">
        <v>928</v>
      </c>
      <c r="D11" s="62" t="s">
        <v>453</v>
      </c>
      <c r="E11" s="62" t="s">
        <v>3149</v>
      </c>
      <c r="F11" s="62" t="s">
        <v>3150</v>
      </c>
      <c r="G11" s="64" t="s">
        <v>3151</v>
      </c>
    </row>
    <row r="12" spans="1:7" x14ac:dyDescent="0.35">
      <c r="A12" s="62">
        <v>11</v>
      </c>
      <c r="B12" s="63" t="s">
        <v>3152</v>
      </c>
      <c r="C12" s="62" t="s">
        <v>928</v>
      </c>
      <c r="D12" s="62" t="s">
        <v>453</v>
      </c>
      <c r="E12" s="62" t="s">
        <v>3153</v>
      </c>
      <c r="F12" s="62" t="s">
        <v>3154</v>
      </c>
      <c r="G12" s="64" t="s">
        <v>3155</v>
      </c>
    </row>
    <row r="13" spans="1:7" x14ac:dyDescent="0.35">
      <c r="A13" s="62">
        <v>12</v>
      </c>
      <c r="B13" s="63" t="s">
        <v>3156</v>
      </c>
      <c r="C13" s="62" t="s">
        <v>928</v>
      </c>
      <c r="D13" s="62" t="s">
        <v>453</v>
      </c>
      <c r="E13" s="62" t="s">
        <v>3157</v>
      </c>
      <c r="F13" s="62" t="s">
        <v>3158</v>
      </c>
      <c r="G13" s="64" t="s">
        <v>3159</v>
      </c>
    </row>
    <row r="14" spans="1:7" x14ac:dyDescent="0.35">
      <c r="A14" s="62">
        <v>13</v>
      </c>
      <c r="B14" s="63" t="s">
        <v>3160</v>
      </c>
      <c r="C14" s="62" t="s">
        <v>928</v>
      </c>
      <c r="D14" s="62" t="s">
        <v>453</v>
      </c>
      <c r="E14" s="62" t="s">
        <v>3161</v>
      </c>
      <c r="F14" s="62" t="s">
        <v>3162</v>
      </c>
      <c r="G14" s="64" t="s">
        <v>3163</v>
      </c>
    </row>
    <row r="15" spans="1:7" x14ac:dyDescent="0.35">
      <c r="A15" s="62">
        <v>14</v>
      </c>
      <c r="B15" s="63" t="s">
        <v>3164</v>
      </c>
      <c r="C15" s="62" t="s">
        <v>928</v>
      </c>
      <c r="D15" s="62" t="s">
        <v>453</v>
      </c>
      <c r="E15" s="62" t="s">
        <v>3165</v>
      </c>
      <c r="F15" s="62" t="s">
        <v>3166</v>
      </c>
      <c r="G15" s="64" t="s">
        <v>3167</v>
      </c>
    </row>
    <row r="16" spans="1:7" x14ac:dyDescent="0.35">
      <c r="A16" s="62">
        <v>15</v>
      </c>
      <c r="B16" s="63" t="s">
        <v>3168</v>
      </c>
      <c r="C16" s="62" t="s">
        <v>928</v>
      </c>
      <c r="D16" s="62" t="s">
        <v>453</v>
      </c>
      <c r="E16" s="62" t="s">
        <v>3169</v>
      </c>
      <c r="F16" s="62" t="s">
        <v>3170</v>
      </c>
      <c r="G16" s="64" t="s">
        <v>3171</v>
      </c>
    </row>
    <row r="17" spans="1:7" x14ac:dyDescent="0.35">
      <c r="A17" s="62">
        <v>16</v>
      </c>
      <c r="B17" s="63" t="s">
        <v>3172</v>
      </c>
      <c r="C17" s="62" t="s">
        <v>928</v>
      </c>
      <c r="D17" s="62" t="s">
        <v>453</v>
      </c>
      <c r="E17" s="62" t="s">
        <v>3173</v>
      </c>
      <c r="F17" s="62" t="s">
        <v>3174</v>
      </c>
      <c r="G17" s="64" t="s">
        <v>3175</v>
      </c>
    </row>
    <row r="18" spans="1:7" x14ac:dyDescent="0.35">
      <c r="A18" s="62">
        <v>17</v>
      </c>
      <c r="B18" s="63" t="s">
        <v>3176</v>
      </c>
      <c r="C18" s="62" t="s">
        <v>928</v>
      </c>
      <c r="D18" s="62" t="s">
        <v>453</v>
      </c>
      <c r="E18" s="62" t="s">
        <v>3177</v>
      </c>
      <c r="F18" s="62" t="s">
        <v>3178</v>
      </c>
      <c r="G18" s="64" t="s">
        <v>3179</v>
      </c>
    </row>
    <row r="19" spans="1:7" x14ac:dyDescent="0.35">
      <c r="A19" s="62">
        <v>18</v>
      </c>
      <c r="B19" s="63" t="s">
        <v>3180</v>
      </c>
      <c r="C19" s="62" t="s">
        <v>928</v>
      </c>
      <c r="D19" s="62" t="s">
        <v>453</v>
      </c>
      <c r="E19" s="62" t="s">
        <v>3181</v>
      </c>
      <c r="F19" s="62" t="s">
        <v>3182</v>
      </c>
      <c r="G19" s="64" t="s">
        <v>3183</v>
      </c>
    </row>
    <row r="20" spans="1:7" x14ac:dyDescent="0.35">
      <c r="A20" s="62">
        <v>19</v>
      </c>
      <c r="B20" s="63" t="s">
        <v>3184</v>
      </c>
      <c r="C20" s="62" t="s">
        <v>928</v>
      </c>
      <c r="D20" s="62" t="s">
        <v>453</v>
      </c>
      <c r="E20" s="62" t="s">
        <v>3185</v>
      </c>
      <c r="F20" s="62" t="s">
        <v>3186</v>
      </c>
      <c r="G20" s="64" t="s">
        <v>3187</v>
      </c>
    </row>
    <row r="21" spans="1:7" x14ac:dyDescent="0.35">
      <c r="A21" s="62">
        <v>20</v>
      </c>
      <c r="B21" s="63" t="s">
        <v>3188</v>
      </c>
      <c r="C21" s="62" t="s">
        <v>928</v>
      </c>
      <c r="D21" s="62" t="s">
        <v>453</v>
      </c>
      <c r="E21" s="62" t="s">
        <v>3189</v>
      </c>
      <c r="F21" s="62" t="s">
        <v>3190</v>
      </c>
      <c r="G21" s="64" t="s">
        <v>3191</v>
      </c>
    </row>
    <row r="22" spans="1:7" x14ac:dyDescent="0.35">
      <c r="A22" s="62">
        <v>21</v>
      </c>
      <c r="B22" s="63" t="s">
        <v>3192</v>
      </c>
      <c r="C22" s="62" t="s">
        <v>928</v>
      </c>
      <c r="D22" s="62" t="s">
        <v>453</v>
      </c>
      <c r="E22" s="62" t="s">
        <v>3193</v>
      </c>
      <c r="F22" s="62" t="s">
        <v>3194</v>
      </c>
      <c r="G22" s="64" t="s">
        <v>3195</v>
      </c>
    </row>
    <row r="23" spans="1:7" x14ac:dyDescent="0.35">
      <c r="A23" s="62">
        <v>22</v>
      </c>
      <c r="B23" s="63" t="s">
        <v>3196</v>
      </c>
      <c r="C23" s="62" t="s">
        <v>928</v>
      </c>
      <c r="D23" s="62" t="s">
        <v>453</v>
      </c>
      <c r="E23" s="62" t="s">
        <v>3197</v>
      </c>
      <c r="F23" s="62" t="s">
        <v>3198</v>
      </c>
      <c r="G23" s="64" t="s">
        <v>3199</v>
      </c>
    </row>
    <row r="24" spans="1:7" x14ac:dyDescent="0.35">
      <c r="A24" s="62">
        <v>23</v>
      </c>
      <c r="B24" s="63" t="s">
        <v>3200</v>
      </c>
      <c r="C24" s="62" t="s">
        <v>928</v>
      </c>
      <c r="D24" s="62" t="s">
        <v>453</v>
      </c>
      <c r="E24" s="62" t="s">
        <v>3201</v>
      </c>
      <c r="F24" s="62" t="s">
        <v>3202</v>
      </c>
      <c r="G24" s="64" t="s">
        <v>3203</v>
      </c>
    </row>
    <row r="25" spans="1:7" x14ac:dyDescent="0.35">
      <c r="A25" s="62">
        <v>24</v>
      </c>
      <c r="B25" s="63" t="s">
        <v>3204</v>
      </c>
      <c r="C25" s="62" t="s">
        <v>928</v>
      </c>
      <c r="D25" s="62" t="s">
        <v>453</v>
      </c>
      <c r="E25" s="62" t="s">
        <v>3205</v>
      </c>
      <c r="F25" s="62" t="s">
        <v>3206</v>
      </c>
      <c r="G25" s="64" t="s">
        <v>3207</v>
      </c>
    </row>
    <row r="26" spans="1:7" x14ac:dyDescent="0.35">
      <c r="A26" s="62">
        <v>25</v>
      </c>
      <c r="B26" s="63" t="s">
        <v>3208</v>
      </c>
      <c r="C26" s="62" t="s">
        <v>928</v>
      </c>
      <c r="D26" s="62" t="s">
        <v>453</v>
      </c>
      <c r="E26" s="62" t="s">
        <v>3209</v>
      </c>
      <c r="F26" s="62" t="s">
        <v>3210</v>
      </c>
      <c r="G26" s="64" t="s">
        <v>3211</v>
      </c>
    </row>
    <row r="27" spans="1:7" x14ac:dyDescent="0.35">
      <c r="A27" s="62">
        <v>26</v>
      </c>
      <c r="B27" s="63" t="s">
        <v>3212</v>
      </c>
      <c r="C27" s="62" t="s">
        <v>928</v>
      </c>
      <c r="D27" s="62" t="s">
        <v>453</v>
      </c>
      <c r="E27" s="62" t="s">
        <v>3213</v>
      </c>
      <c r="F27" s="62" t="s">
        <v>3214</v>
      </c>
      <c r="G27" s="64" t="s">
        <v>3215</v>
      </c>
    </row>
    <row r="28" spans="1:7" x14ac:dyDescent="0.35">
      <c r="A28" s="62">
        <v>27</v>
      </c>
      <c r="B28" s="63" t="s">
        <v>3216</v>
      </c>
      <c r="C28" s="62" t="s">
        <v>928</v>
      </c>
      <c r="D28" s="62" t="s">
        <v>453</v>
      </c>
      <c r="E28" s="62" t="s">
        <v>3217</v>
      </c>
      <c r="F28" s="62" t="s">
        <v>3218</v>
      </c>
      <c r="G28" s="64" t="s">
        <v>3219</v>
      </c>
    </row>
    <row r="29" spans="1:7" x14ac:dyDescent="0.35">
      <c r="A29" s="62">
        <v>28</v>
      </c>
      <c r="B29" s="63" t="s">
        <v>3220</v>
      </c>
      <c r="C29" s="62" t="s">
        <v>928</v>
      </c>
      <c r="D29" s="62" t="s">
        <v>453</v>
      </c>
      <c r="E29" s="62" t="s">
        <v>3221</v>
      </c>
      <c r="F29" s="62" t="s">
        <v>3222</v>
      </c>
      <c r="G29" s="64" t="s">
        <v>3223</v>
      </c>
    </row>
    <row r="30" spans="1:7" x14ac:dyDescent="0.35">
      <c r="A30" s="62">
        <v>29</v>
      </c>
      <c r="B30" s="63" t="s">
        <v>3224</v>
      </c>
      <c r="C30" s="62" t="s">
        <v>928</v>
      </c>
      <c r="D30" s="62" t="s">
        <v>453</v>
      </c>
      <c r="E30" s="62" t="s">
        <v>3225</v>
      </c>
      <c r="F30" s="62" t="s">
        <v>3226</v>
      </c>
      <c r="G30" s="64" t="s">
        <v>3227</v>
      </c>
    </row>
    <row r="31" spans="1:7" x14ac:dyDescent="0.35">
      <c r="A31" s="62">
        <v>30</v>
      </c>
      <c r="B31" s="63" t="s">
        <v>3228</v>
      </c>
      <c r="C31" s="62" t="s">
        <v>928</v>
      </c>
      <c r="D31" s="62" t="s">
        <v>453</v>
      </c>
      <c r="E31" s="62" t="s">
        <v>3229</v>
      </c>
      <c r="F31" s="62" t="s">
        <v>3230</v>
      </c>
      <c r="G31" s="64" t="s">
        <v>3231</v>
      </c>
    </row>
    <row r="32" spans="1:7" x14ac:dyDescent="0.35">
      <c r="A32" s="62">
        <v>31</v>
      </c>
      <c r="B32" s="63" t="s">
        <v>3232</v>
      </c>
      <c r="C32" s="62" t="s">
        <v>928</v>
      </c>
      <c r="D32" s="62" t="s">
        <v>453</v>
      </c>
      <c r="E32" s="62" t="s">
        <v>3233</v>
      </c>
      <c r="F32" s="62" t="s">
        <v>3234</v>
      </c>
      <c r="G32" s="64" t="s">
        <v>3235</v>
      </c>
    </row>
    <row r="33" spans="1:7" x14ac:dyDescent="0.35">
      <c r="A33" s="62">
        <v>32</v>
      </c>
      <c r="B33" s="63" t="s">
        <v>3236</v>
      </c>
      <c r="C33" s="62" t="s">
        <v>928</v>
      </c>
      <c r="D33" s="62" t="s">
        <v>453</v>
      </c>
      <c r="E33" s="62" t="s">
        <v>3237</v>
      </c>
      <c r="F33" s="62" t="s">
        <v>3238</v>
      </c>
      <c r="G33" s="64" t="s">
        <v>3239</v>
      </c>
    </row>
    <row r="34" spans="1:7" x14ac:dyDescent="0.35">
      <c r="A34" s="62">
        <v>33</v>
      </c>
      <c r="B34" s="63" t="s">
        <v>3196</v>
      </c>
      <c r="C34" s="62" t="s">
        <v>928</v>
      </c>
      <c r="D34" s="62" t="s">
        <v>453</v>
      </c>
      <c r="E34" s="62" t="s">
        <v>3240</v>
      </c>
      <c r="F34" s="62" t="s">
        <v>3241</v>
      </c>
      <c r="G34" s="64" t="s">
        <v>3242</v>
      </c>
    </row>
    <row r="35" spans="1:7" x14ac:dyDescent="0.35">
      <c r="A35" s="62">
        <v>34</v>
      </c>
      <c r="B35" s="63" t="s">
        <v>3243</v>
      </c>
      <c r="C35" s="62" t="s">
        <v>928</v>
      </c>
      <c r="D35" s="62" t="s">
        <v>453</v>
      </c>
      <c r="E35" s="62" t="s">
        <v>3244</v>
      </c>
      <c r="F35" s="62" t="s">
        <v>3245</v>
      </c>
      <c r="G35" s="64" t="s">
        <v>3246</v>
      </c>
    </row>
    <row r="36" spans="1:7" x14ac:dyDescent="0.35">
      <c r="A36" s="62">
        <v>35</v>
      </c>
      <c r="B36" s="63" t="s">
        <v>3247</v>
      </c>
      <c r="C36" s="62" t="s">
        <v>928</v>
      </c>
      <c r="D36" s="62" t="s">
        <v>453</v>
      </c>
      <c r="E36" s="62" t="s">
        <v>3248</v>
      </c>
      <c r="F36" s="62" t="s">
        <v>3249</v>
      </c>
      <c r="G36" s="64" t="s">
        <v>3250</v>
      </c>
    </row>
    <row r="37" spans="1:7" x14ac:dyDescent="0.35">
      <c r="A37" s="62">
        <v>36</v>
      </c>
      <c r="B37" s="63" t="s">
        <v>3251</v>
      </c>
      <c r="C37" s="62" t="s">
        <v>928</v>
      </c>
      <c r="D37" s="62" t="s">
        <v>453</v>
      </c>
      <c r="E37" s="62" t="s">
        <v>3252</v>
      </c>
      <c r="F37" s="62" t="s">
        <v>3253</v>
      </c>
      <c r="G37" s="64" t="s">
        <v>3254</v>
      </c>
    </row>
    <row r="38" spans="1:7" x14ac:dyDescent="0.35">
      <c r="A38" s="62">
        <v>37</v>
      </c>
      <c r="B38" s="63" t="s">
        <v>3255</v>
      </c>
      <c r="C38" s="62" t="s">
        <v>928</v>
      </c>
      <c r="D38" s="62" t="s">
        <v>453</v>
      </c>
      <c r="E38" s="62" t="s">
        <v>3256</v>
      </c>
      <c r="F38" s="62" t="s">
        <v>3257</v>
      </c>
      <c r="G38" s="64" t="s">
        <v>3258</v>
      </c>
    </row>
    <row r="39" spans="1:7" x14ac:dyDescent="0.35">
      <c r="A39" s="62">
        <v>38</v>
      </c>
      <c r="B39" s="63" t="s">
        <v>3259</v>
      </c>
      <c r="C39" s="62" t="s">
        <v>928</v>
      </c>
      <c r="D39" s="62" t="s">
        <v>453</v>
      </c>
      <c r="E39" s="62" t="s">
        <v>3260</v>
      </c>
      <c r="F39" s="62" t="s">
        <v>3261</v>
      </c>
      <c r="G39" s="64" t="s">
        <v>3262</v>
      </c>
    </row>
    <row r="40" spans="1:7" x14ac:dyDescent="0.35">
      <c r="A40" s="62">
        <v>39</v>
      </c>
      <c r="B40" s="63" t="s">
        <v>3196</v>
      </c>
      <c r="C40" s="62" t="s">
        <v>928</v>
      </c>
      <c r="D40" s="62" t="s">
        <v>453</v>
      </c>
      <c r="E40" s="62" t="s">
        <v>3263</v>
      </c>
      <c r="F40" s="62" t="s">
        <v>3264</v>
      </c>
      <c r="G40" s="64" t="s">
        <v>3265</v>
      </c>
    </row>
    <row r="41" spans="1:7" x14ac:dyDescent="0.35">
      <c r="A41" s="62">
        <v>40</v>
      </c>
      <c r="B41" s="63" t="s">
        <v>3266</v>
      </c>
      <c r="C41" s="62" t="s">
        <v>928</v>
      </c>
      <c r="D41" s="62" t="s">
        <v>453</v>
      </c>
      <c r="E41" s="62" t="s">
        <v>3267</v>
      </c>
      <c r="F41" s="62" t="s">
        <v>3268</v>
      </c>
      <c r="G41" s="64" t="s">
        <v>3269</v>
      </c>
    </row>
    <row r="42" spans="1:7" x14ac:dyDescent="0.35">
      <c r="A42" s="62">
        <v>42</v>
      </c>
      <c r="B42" s="63" t="s">
        <v>3270</v>
      </c>
      <c r="C42" s="62" t="s">
        <v>928</v>
      </c>
      <c r="D42" s="62" t="s">
        <v>453</v>
      </c>
      <c r="E42" s="62" t="s">
        <v>3271</v>
      </c>
      <c r="F42" s="62" t="s">
        <v>3272</v>
      </c>
      <c r="G42" s="64" t="s">
        <v>3273</v>
      </c>
    </row>
    <row r="43" spans="1:7" x14ac:dyDescent="0.35">
      <c r="A43" s="62">
        <v>43</v>
      </c>
      <c r="B43" s="63" t="s">
        <v>3274</v>
      </c>
      <c r="C43" s="62" t="s">
        <v>928</v>
      </c>
      <c r="D43" s="62" t="s">
        <v>453</v>
      </c>
      <c r="E43" s="62" t="s">
        <v>3275</v>
      </c>
      <c r="F43" s="62" t="s">
        <v>3276</v>
      </c>
      <c r="G43" s="64" t="s">
        <v>3277</v>
      </c>
    </row>
    <row r="44" spans="1:7" x14ac:dyDescent="0.35">
      <c r="A44" s="62">
        <v>44</v>
      </c>
      <c r="B44" s="63" t="s">
        <v>3278</v>
      </c>
      <c r="C44" s="62" t="s">
        <v>928</v>
      </c>
      <c r="D44" s="62" t="s">
        <v>453</v>
      </c>
      <c r="E44" s="62" t="s">
        <v>3279</v>
      </c>
      <c r="F44" s="62" t="s">
        <v>3280</v>
      </c>
      <c r="G44" s="64" t="s">
        <v>3281</v>
      </c>
    </row>
    <row r="45" spans="1:7" x14ac:dyDescent="0.35">
      <c r="A45" s="62">
        <v>45</v>
      </c>
      <c r="B45" s="63" t="s">
        <v>3282</v>
      </c>
      <c r="C45" s="62" t="s">
        <v>928</v>
      </c>
      <c r="D45" s="62" t="s">
        <v>453</v>
      </c>
      <c r="E45" s="62" t="s">
        <v>3283</v>
      </c>
      <c r="F45" s="62" t="s">
        <v>3284</v>
      </c>
      <c r="G45" s="64" t="s">
        <v>3285</v>
      </c>
    </row>
    <row r="46" spans="1:7" x14ac:dyDescent="0.35">
      <c r="A46" s="62">
        <v>46</v>
      </c>
      <c r="B46" s="63" t="s">
        <v>3286</v>
      </c>
      <c r="C46" s="62" t="s">
        <v>928</v>
      </c>
      <c r="D46" s="62" t="s">
        <v>453</v>
      </c>
      <c r="E46" s="62" t="s">
        <v>3287</v>
      </c>
      <c r="F46" s="62" t="s">
        <v>3288</v>
      </c>
      <c r="G46" s="64" t="s">
        <v>3289</v>
      </c>
    </row>
    <row r="47" spans="1:7" x14ac:dyDescent="0.35">
      <c r="A47" s="62">
        <v>47</v>
      </c>
      <c r="B47" s="63" t="s">
        <v>3290</v>
      </c>
      <c r="C47" s="62" t="s">
        <v>928</v>
      </c>
      <c r="D47" s="62" t="s">
        <v>453</v>
      </c>
      <c r="E47" s="62" t="s">
        <v>3291</v>
      </c>
      <c r="F47" s="62" t="s">
        <v>3292</v>
      </c>
      <c r="G47" s="64" t="s">
        <v>3293</v>
      </c>
    </row>
    <row r="48" spans="1:7" x14ac:dyDescent="0.35">
      <c r="A48" s="62">
        <v>48</v>
      </c>
      <c r="B48" s="63" t="s">
        <v>3294</v>
      </c>
      <c r="C48" s="62" t="s">
        <v>928</v>
      </c>
      <c r="D48" s="62" t="s">
        <v>453</v>
      </c>
      <c r="E48" s="62" t="s">
        <v>3295</v>
      </c>
      <c r="F48" s="62" t="s">
        <v>3296</v>
      </c>
      <c r="G48" s="64" t="s">
        <v>3297</v>
      </c>
    </row>
    <row r="49" spans="1:7" x14ac:dyDescent="0.35">
      <c r="A49" s="62">
        <v>49</v>
      </c>
      <c r="B49" s="63" t="s">
        <v>3196</v>
      </c>
      <c r="C49" s="62" t="s">
        <v>928</v>
      </c>
      <c r="D49" s="62" t="s">
        <v>480</v>
      </c>
      <c r="E49" s="62" t="s">
        <v>3298</v>
      </c>
      <c r="F49" s="62" t="s">
        <v>3298</v>
      </c>
      <c r="G49" s="64" t="s">
        <v>3299</v>
      </c>
    </row>
    <row r="50" spans="1:7" x14ac:dyDescent="0.35">
      <c r="A50" s="62">
        <v>50</v>
      </c>
      <c r="B50" s="63" t="s">
        <v>3300</v>
      </c>
      <c r="C50" s="62" t="s">
        <v>928</v>
      </c>
      <c r="D50" s="62" t="s">
        <v>453</v>
      </c>
      <c r="E50" s="62" t="s">
        <v>3301</v>
      </c>
      <c r="F50" s="62" t="s">
        <v>3302</v>
      </c>
      <c r="G50" s="64" t="s">
        <v>3303</v>
      </c>
    </row>
    <row r="51" spans="1:7" x14ac:dyDescent="0.35">
      <c r="A51" s="62">
        <v>51</v>
      </c>
      <c r="B51" s="63" t="s">
        <v>3304</v>
      </c>
      <c r="C51" s="62" t="s">
        <v>928</v>
      </c>
      <c r="D51" s="62" t="s">
        <v>453</v>
      </c>
      <c r="E51" s="62" t="s">
        <v>3305</v>
      </c>
      <c r="F51" s="62" t="s">
        <v>3306</v>
      </c>
      <c r="G51" s="64" t="s">
        <v>3307</v>
      </c>
    </row>
    <row r="52" spans="1:7" x14ac:dyDescent="0.35">
      <c r="A52" s="62">
        <v>52</v>
      </c>
      <c r="B52" s="63" t="s">
        <v>3196</v>
      </c>
      <c r="C52" s="62" t="s">
        <v>928</v>
      </c>
      <c r="D52" s="62" t="s">
        <v>453</v>
      </c>
      <c r="E52" s="62" t="s">
        <v>3308</v>
      </c>
      <c r="F52" s="62" t="s">
        <v>3309</v>
      </c>
      <c r="G52" s="64" t="s">
        <v>3310</v>
      </c>
    </row>
    <row r="53" spans="1:7" x14ac:dyDescent="0.35">
      <c r="A53" s="62">
        <v>53</v>
      </c>
      <c r="B53" s="63" t="s">
        <v>3311</v>
      </c>
      <c r="C53" s="62" t="s">
        <v>928</v>
      </c>
      <c r="D53" s="62" t="s">
        <v>453</v>
      </c>
      <c r="E53" s="62" t="s">
        <v>3312</v>
      </c>
      <c r="F53" s="62" t="s">
        <v>3313</v>
      </c>
      <c r="G53" s="64" t="s">
        <v>3314</v>
      </c>
    </row>
    <row r="54" spans="1:7" x14ac:dyDescent="0.35">
      <c r="A54" s="62">
        <v>54</v>
      </c>
      <c r="B54" s="63" t="s">
        <v>3315</v>
      </c>
      <c r="C54" s="62" t="s">
        <v>928</v>
      </c>
      <c r="D54" s="62" t="s">
        <v>453</v>
      </c>
      <c r="E54" s="62" t="s">
        <v>3316</v>
      </c>
      <c r="F54" s="62" t="s">
        <v>3317</v>
      </c>
      <c r="G54" s="64" t="s">
        <v>3318</v>
      </c>
    </row>
    <row r="55" spans="1:7" x14ac:dyDescent="0.35">
      <c r="A55" s="62">
        <v>55</v>
      </c>
      <c r="B55" s="63" t="s">
        <v>3319</v>
      </c>
      <c r="C55" s="62" t="s">
        <v>928</v>
      </c>
      <c r="D55" s="62" t="s">
        <v>453</v>
      </c>
      <c r="E55" s="62" t="s">
        <v>3320</v>
      </c>
      <c r="F55" s="62" t="s">
        <v>3321</v>
      </c>
      <c r="G55" s="64" t="s">
        <v>3322</v>
      </c>
    </row>
    <row r="56" spans="1:7" x14ac:dyDescent="0.35">
      <c r="A56" s="62">
        <v>56</v>
      </c>
      <c r="B56" s="63" t="s">
        <v>3323</v>
      </c>
      <c r="C56" s="62" t="s">
        <v>928</v>
      </c>
      <c r="D56" s="62" t="s">
        <v>453</v>
      </c>
      <c r="E56" s="62" t="s">
        <v>3324</v>
      </c>
      <c r="F56" s="62" t="s">
        <v>3325</v>
      </c>
      <c r="G56" s="64" t="s">
        <v>3326</v>
      </c>
    </row>
    <row r="57" spans="1:7" x14ac:dyDescent="0.35">
      <c r="A57" s="62">
        <v>58</v>
      </c>
      <c r="B57" s="63" t="s">
        <v>3327</v>
      </c>
      <c r="C57" s="62" t="s">
        <v>928</v>
      </c>
      <c r="D57" s="62" t="s">
        <v>453</v>
      </c>
      <c r="E57" s="62" t="s">
        <v>3328</v>
      </c>
      <c r="F57" s="62" t="s">
        <v>3329</v>
      </c>
      <c r="G57" s="64" t="s">
        <v>3330</v>
      </c>
    </row>
    <row r="58" spans="1:7" x14ac:dyDescent="0.35">
      <c r="A58" s="62">
        <v>59</v>
      </c>
      <c r="B58" s="63" t="s">
        <v>3331</v>
      </c>
      <c r="C58" s="62" t="s">
        <v>928</v>
      </c>
      <c r="D58" s="62" t="s">
        <v>453</v>
      </c>
      <c r="E58" s="62" t="s">
        <v>3332</v>
      </c>
      <c r="F58" s="62" t="s">
        <v>3333</v>
      </c>
      <c r="G58" s="64" t="s">
        <v>3334</v>
      </c>
    </row>
    <row r="59" spans="1:7" x14ac:dyDescent="0.35">
      <c r="A59" s="62">
        <v>60</v>
      </c>
      <c r="B59" s="63" t="s">
        <v>3335</v>
      </c>
      <c r="C59" s="62" t="s">
        <v>928</v>
      </c>
      <c r="D59" s="62" t="s">
        <v>453</v>
      </c>
      <c r="E59" s="62" t="s">
        <v>3336</v>
      </c>
      <c r="F59" s="62" t="s">
        <v>3337</v>
      </c>
      <c r="G59" s="64" t="s">
        <v>3338</v>
      </c>
    </row>
    <row r="60" spans="1:7" x14ac:dyDescent="0.35">
      <c r="A60" s="62">
        <v>61</v>
      </c>
      <c r="B60" s="63" t="s">
        <v>3339</v>
      </c>
      <c r="C60" s="62" t="s">
        <v>928</v>
      </c>
      <c r="D60" s="62" t="s">
        <v>453</v>
      </c>
      <c r="E60" s="62" t="s">
        <v>3340</v>
      </c>
      <c r="F60" s="62" t="s">
        <v>3341</v>
      </c>
      <c r="G60" s="64" t="s">
        <v>3342</v>
      </c>
    </row>
    <row r="61" spans="1:7" x14ac:dyDescent="0.35">
      <c r="A61" s="62">
        <v>62</v>
      </c>
      <c r="B61" s="63" t="s">
        <v>3343</v>
      </c>
      <c r="C61" s="62" t="s">
        <v>928</v>
      </c>
      <c r="D61" s="62" t="s">
        <v>453</v>
      </c>
      <c r="E61" s="62" t="s">
        <v>3344</v>
      </c>
      <c r="F61" s="62" t="s">
        <v>3345</v>
      </c>
      <c r="G61" s="64" t="s">
        <v>3346</v>
      </c>
    </row>
    <row r="62" spans="1:7" x14ac:dyDescent="0.35">
      <c r="A62" s="62">
        <v>63</v>
      </c>
      <c r="B62" s="63" t="s">
        <v>3347</v>
      </c>
      <c r="C62" s="62" t="s">
        <v>928</v>
      </c>
      <c r="D62" s="62" t="s">
        <v>453</v>
      </c>
      <c r="E62" s="62" t="s">
        <v>3348</v>
      </c>
      <c r="F62" s="62" t="s">
        <v>3349</v>
      </c>
      <c r="G62" s="64" t="s">
        <v>3350</v>
      </c>
    </row>
    <row r="63" spans="1:7" x14ac:dyDescent="0.35">
      <c r="A63" s="62">
        <v>64</v>
      </c>
      <c r="B63" s="63" t="s">
        <v>3351</v>
      </c>
      <c r="C63" s="62" t="s">
        <v>928</v>
      </c>
      <c r="D63" s="62" t="s">
        <v>453</v>
      </c>
      <c r="E63" s="62" t="s">
        <v>3352</v>
      </c>
      <c r="F63" s="62" t="s">
        <v>3353</v>
      </c>
      <c r="G63" s="64" t="s">
        <v>3354</v>
      </c>
    </row>
    <row r="64" spans="1:7" x14ac:dyDescent="0.35">
      <c r="A64" s="62">
        <v>65</v>
      </c>
      <c r="B64" s="63" t="s">
        <v>3355</v>
      </c>
      <c r="C64" s="62" t="s">
        <v>928</v>
      </c>
      <c r="D64" s="62" t="s">
        <v>453</v>
      </c>
      <c r="E64" s="62" t="s">
        <v>3356</v>
      </c>
      <c r="F64" s="62" t="s">
        <v>3357</v>
      </c>
      <c r="G64" s="64" t="s">
        <v>3358</v>
      </c>
    </row>
    <row r="65" spans="1:7" x14ac:dyDescent="0.35">
      <c r="A65" s="62">
        <v>66</v>
      </c>
      <c r="B65" s="63" t="s">
        <v>3196</v>
      </c>
      <c r="C65" s="62" t="s">
        <v>928</v>
      </c>
      <c r="D65" s="62" t="s">
        <v>453</v>
      </c>
      <c r="E65" s="62" t="s">
        <v>3359</v>
      </c>
      <c r="F65" s="62" t="s">
        <v>3360</v>
      </c>
      <c r="G65" s="64" t="s">
        <v>3361</v>
      </c>
    </row>
    <row r="66" spans="1:7" x14ac:dyDescent="0.35">
      <c r="A66" s="62">
        <v>67</v>
      </c>
      <c r="B66" s="63" t="s">
        <v>3362</v>
      </c>
      <c r="C66" s="62" t="s">
        <v>928</v>
      </c>
      <c r="D66" s="62" t="s">
        <v>453</v>
      </c>
      <c r="E66" s="62" t="s">
        <v>3363</v>
      </c>
      <c r="F66" s="62" t="s">
        <v>3364</v>
      </c>
      <c r="G66" s="64" t="s">
        <v>3365</v>
      </c>
    </row>
    <row r="67" spans="1:7" x14ac:dyDescent="0.35">
      <c r="A67" s="62">
        <v>68</v>
      </c>
      <c r="B67" s="63" t="s">
        <v>3366</v>
      </c>
      <c r="C67" s="62" t="s">
        <v>928</v>
      </c>
      <c r="D67" s="62" t="s">
        <v>453</v>
      </c>
      <c r="E67" s="62" t="s">
        <v>3367</v>
      </c>
      <c r="F67" s="62" t="s">
        <v>3368</v>
      </c>
      <c r="G67" s="64" t="s">
        <v>3369</v>
      </c>
    </row>
    <row r="68" spans="1:7" x14ac:dyDescent="0.35">
      <c r="A68" s="62">
        <v>69</v>
      </c>
      <c r="B68" s="63" t="s">
        <v>3370</v>
      </c>
      <c r="C68" s="62" t="s">
        <v>928</v>
      </c>
      <c r="D68" s="62" t="s">
        <v>453</v>
      </c>
      <c r="E68" s="62" t="s">
        <v>3371</v>
      </c>
      <c r="F68" s="62" t="s">
        <v>3372</v>
      </c>
      <c r="G68" s="64" t="s">
        <v>3373</v>
      </c>
    </row>
    <row r="69" spans="1:7" x14ac:dyDescent="0.35">
      <c r="A69" s="62">
        <v>70</v>
      </c>
      <c r="B69" s="63" t="s">
        <v>3374</v>
      </c>
      <c r="C69" s="62" t="s">
        <v>928</v>
      </c>
      <c r="D69" s="62" t="s">
        <v>453</v>
      </c>
      <c r="E69" s="62" t="s">
        <v>3375</v>
      </c>
      <c r="F69" s="62" t="s">
        <v>3376</v>
      </c>
      <c r="G69" s="64" t="s">
        <v>3377</v>
      </c>
    </row>
    <row r="70" spans="1:7" x14ac:dyDescent="0.35">
      <c r="A70" s="62">
        <v>71</v>
      </c>
      <c r="B70" s="63" t="s">
        <v>3378</v>
      </c>
      <c r="C70" s="62" t="s">
        <v>928</v>
      </c>
      <c r="D70" s="62" t="s">
        <v>453</v>
      </c>
      <c r="E70" s="62" t="s">
        <v>3379</v>
      </c>
      <c r="F70" s="62" t="s">
        <v>3380</v>
      </c>
      <c r="G70" s="64" t="s">
        <v>3381</v>
      </c>
    </row>
    <row r="71" spans="1:7" x14ac:dyDescent="0.35">
      <c r="A71" s="62">
        <v>72</v>
      </c>
      <c r="B71" s="63" t="s">
        <v>3382</v>
      </c>
      <c r="C71" s="62" t="s">
        <v>928</v>
      </c>
      <c r="D71" s="62" t="s">
        <v>453</v>
      </c>
      <c r="E71" s="62" t="s">
        <v>3383</v>
      </c>
      <c r="F71" s="62" t="s">
        <v>3384</v>
      </c>
      <c r="G71" s="64" t="s">
        <v>3385</v>
      </c>
    </row>
    <row r="72" spans="1:7" x14ac:dyDescent="0.35">
      <c r="A72" s="62">
        <v>73</v>
      </c>
      <c r="B72" s="63" t="s">
        <v>3196</v>
      </c>
      <c r="C72" s="62" t="s">
        <v>928</v>
      </c>
      <c r="D72" s="62" t="s">
        <v>480</v>
      </c>
      <c r="E72" s="62" t="s">
        <v>3386</v>
      </c>
      <c r="F72" s="62" t="s">
        <v>3386</v>
      </c>
      <c r="G72" s="64" t="s">
        <v>3299</v>
      </c>
    </row>
    <row r="73" spans="1:7" x14ac:dyDescent="0.35">
      <c r="A73" s="62">
        <v>74</v>
      </c>
      <c r="B73" s="63" t="s">
        <v>3196</v>
      </c>
      <c r="C73" s="62" t="s">
        <v>928</v>
      </c>
      <c r="D73" s="62" t="s">
        <v>480</v>
      </c>
      <c r="E73" s="62" t="s">
        <v>3387</v>
      </c>
      <c r="F73" s="62" t="s">
        <v>3387</v>
      </c>
      <c r="G73" s="64" t="s">
        <v>3299</v>
      </c>
    </row>
    <row r="74" spans="1:7" x14ac:dyDescent="0.35">
      <c r="A74" s="62">
        <v>75</v>
      </c>
      <c r="B74" s="63" t="s">
        <v>3388</v>
      </c>
      <c r="C74" s="62" t="s">
        <v>928</v>
      </c>
      <c r="D74" s="62" t="s">
        <v>453</v>
      </c>
      <c r="E74" s="62" t="s">
        <v>3389</v>
      </c>
      <c r="F74" s="62" t="s">
        <v>3390</v>
      </c>
      <c r="G74" s="64" t="s">
        <v>3391</v>
      </c>
    </row>
    <row r="75" spans="1:7" x14ac:dyDescent="0.35">
      <c r="A75" s="62">
        <v>76</v>
      </c>
      <c r="B75" s="63" t="s">
        <v>3392</v>
      </c>
      <c r="C75" s="62" t="s">
        <v>928</v>
      </c>
      <c r="D75" s="62" t="s">
        <v>453</v>
      </c>
      <c r="E75" s="62" t="s">
        <v>3393</v>
      </c>
      <c r="F75" s="62" t="s">
        <v>3394</v>
      </c>
      <c r="G75" s="64" t="s">
        <v>3395</v>
      </c>
    </row>
    <row r="76" spans="1:7" x14ac:dyDescent="0.35">
      <c r="A76" s="62">
        <v>77</v>
      </c>
      <c r="B76" s="63" t="s">
        <v>3396</v>
      </c>
      <c r="C76" s="62" t="s">
        <v>928</v>
      </c>
      <c r="D76" s="62" t="s">
        <v>453</v>
      </c>
      <c r="E76" s="62" t="s">
        <v>3397</v>
      </c>
      <c r="F76" s="62" t="s">
        <v>3398</v>
      </c>
      <c r="G76" s="64" t="s">
        <v>3399</v>
      </c>
    </row>
    <row r="77" spans="1:7" x14ac:dyDescent="0.35">
      <c r="A77" s="62">
        <v>78</v>
      </c>
      <c r="B77" s="63" t="s">
        <v>3400</v>
      </c>
      <c r="C77" s="62" t="s">
        <v>928</v>
      </c>
      <c r="D77" s="62" t="s">
        <v>453</v>
      </c>
      <c r="E77" s="62" t="s">
        <v>3401</v>
      </c>
      <c r="F77" s="62" t="s">
        <v>3402</v>
      </c>
      <c r="G77" s="64" t="s">
        <v>3403</v>
      </c>
    </row>
    <row r="78" spans="1:7" x14ac:dyDescent="0.35">
      <c r="A78" s="62">
        <v>79</v>
      </c>
      <c r="B78" s="63" t="s">
        <v>3404</v>
      </c>
      <c r="C78" s="62" t="s">
        <v>928</v>
      </c>
      <c r="D78" s="62" t="s">
        <v>453</v>
      </c>
      <c r="E78" s="62" t="s">
        <v>3405</v>
      </c>
      <c r="F78" s="62" t="s">
        <v>3406</v>
      </c>
      <c r="G78" s="64" t="s">
        <v>3407</v>
      </c>
    </row>
    <row r="79" spans="1:7" x14ac:dyDescent="0.35">
      <c r="A79" s="62">
        <v>80</v>
      </c>
      <c r="B79" s="63" t="s">
        <v>3251</v>
      </c>
      <c r="C79" s="62" t="s">
        <v>928</v>
      </c>
      <c r="D79" s="62" t="s">
        <v>453</v>
      </c>
      <c r="E79" s="62" t="s">
        <v>3408</v>
      </c>
      <c r="F79" s="62" t="s">
        <v>3408</v>
      </c>
      <c r="G79" s="64" t="s">
        <v>3299</v>
      </c>
    </row>
    <row r="80" spans="1:7" x14ac:dyDescent="0.35">
      <c r="A80" s="62">
        <v>81</v>
      </c>
      <c r="B80" s="63" t="s">
        <v>3409</v>
      </c>
      <c r="C80" s="62" t="s">
        <v>928</v>
      </c>
      <c r="D80" s="62" t="s">
        <v>453</v>
      </c>
      <c r="E80" s="62" t="s">
        <v>3410</v>
      </c>
      <c r="F80" s="62" t="s">
        <v>3411</v>
      </c>
      <c r="G80" s="64" t="s">
        <v>3412</v>
      </c>
    </row>
    <row r="81" spans="1:7" x14ac:dyDescent="0.35">
      <c r="A81" s="62">
        <v>82</v>
      </c>
      <c r="B81" s="63" t="s">
        <v>3413</v>
      </c>
      <c r="C81" s="62" t="s">
        <v>928</v>
      </c>
      <c r="D81" s="62" t="s">
        <v>453</v>
      </c>
      <c r="E81" s="62" t="s">
        <v>3414</v>
      </c>
      <c r="F81" s="62" t="s">
        <v>3415</v>
      </c>
      <c r="G81" s="64" t="s">
        <v>3416</v>
      </c>
    </row>
    <row r="82" spans="1:7" x14ac:dyDescent="0.35">
      <c r="A82" s="62">
        <v>83</v>
      </c>
      <c r="B82" s="63" t="s">
        <v>3417</v>
      </c>
      <c r="C82" s="62" t="s">
        <v>928</v>
      </c>
      <c r="D82" s="62" t="s">
        <v>453</v>
      </c>
      <c r="E82" s="62" t="s">
        <v>3418</v>
      </c>
      <c r="F82" s="62" t="s">
        <v>3419</v>
      </c>
      <c r="G82" s="64" t="s">
        <v>3420</v>
      </c>
    </row>
    <row r="83" spans="1:7" x14ac:dyDescent="0.35">
      <c r="A83" s="62">
        <v>84</v>
      </c>
      <c r="B83" s="63" t="s">
        <v>3421</v>
      </c>
      <c r="C83" s="62" t="s">
        <v>928</v>
      </c>
      <c r="D83" s="62" t="s">
        <v>453</v>
      </c>
      <c r="E83" s="62" t="s">
        <v>3422</v>
      </c>
      <c r="F83" s="62" t="s">
        <v>3423</v>
      </c>
      <c r="G83" s="64" t="s">
        <v>3424</v>
      </c>
    </row>
    <row r="84" spans="1:7" x14ac:dyDescent="0.35">
      <c r="A84" s="62">
        <v>85</v>
      </c>
      <c r="B84" s="63" t="s">
        <v>3425</v>
      </c>
      <c r="C84" s="62" t="s">
        <v>928</v>
      </c>
      <c r="D84" s="62" t="s">
        <v>453</v>
      </c>
      <c r="E84" s="62" t="s">
        <v>3426</v>
      </c>
      <c r="F84" s="62" t="s">
        <v>3427</v>
      </c>
      <c r="G84" s="64" t="s">
        <v>3428</v>
      </c>
    </row>
    <row r="85" spans="1:7" x14ac:dyDescent="0.35">
      <c r="A85" s="62">
        <v>86</v>
      </c>
      <c r="B85" s="63" t="s">
        <v>3429</v>
      </c>
      <c r="C85" s="62" t="s">
        <v>928</v>
      </c>
      <c r="D85" s="62" t="s">
        <v>453</v>
      </c>
      <c r="E85" s="62" t="s">
        <v>3430</v>
      </c>
      <c r="F85" s="62" t="s">
        <v>3431</v>
      </c>
      <c r="G85" s="64" t="s">
        <v>3432</v>
      </c>
    </row>
    <row r="86" spans="1:7" x14ac:dyDescent="0.35">
      <c r="A86" s="62">
        <v>87</v>
      </c>
      <c r="B86" s="63" t="s">
        <v>3433</v>
      </c>
      <c r="C86" s="62" t="s">
        <v>928</v>
      </c>
      <c r="D86" s="62" t="s">
        <v>453</v>
      </c>
      <c r="E86" s="62" t="s">
        <v>3434</v>
      </c>
      <c r="F86" s="62" t="s">
        <v>3435</v>
      </c>
      <c r="G86" s="64" t="s">
        <v>3436</v>
      </c>
    </row>
    <row r="87" spans="1:7" x14ac:dyDescent="0.35">
      <c r="A87" s="62">
        <v>88</v>
      </c>
      <c r="B87" s="63" t="s">
        <v>3437</v>
      </c>
      <c r="C87" s="62" t="s">
        <v>928</v>
      </c>
      <c r="D87" s="62" t="s">
        <v>453</v>
      </c>
      <c r="E87" s="62" t="s">
        <v>3438</v>
      </c>
      <c r="F87" s="62" t="s">
        <v>3439</v>
      </c>
      <c r="G87" s="64" t="s">
        <v>3440</v>
      </c>
    </row>
    <row r="88" spans="1:7" x14ac:dyDescent="0.35">
      <c r="A88" s="62">
        <v>89</v>
      </c>
      <c r="B88" s="63" t="s">
        <v>3441</v>
      </c>
      <c r="C88" s="62" t="s">
        <v>928</v>
      </c>
      <c r="D88" s="62" t="s">
        <v>453</v>
      </c>
      <c r="E88" s="62" t="s">
        <v>3442</v>
      </c>
      <c r="F88" s="62" t="s">
        <v>3442</v>
      </c>
      <c r="G88" s="64" t="s">
        <v>3299</v>
      </c>
    </row>
    <row r="89" spans="1:7" x14ac:dyDescent="0.35">
      <c r="A89" s="62">
        <v>90</v>
      </c>
      <c r="B89" s="63" t="s">
        <v>3443</v>
      </c>
      <c r="C89" s="62" t="s">
        <v>928</v>
      </c>
      <c r="D89" s="62" t="s">
        <v>453</v>
      </c>
      <c r="E89" s="62" t="s">
        <v>3444</v>
      </c>
      <c r="F89" s="62" t="s">
        <v>3445</v>
      </c>
      <c r="G89" s="64" t="s">
        <v>3446</v>
      </c>
    </row>
    <row r="90" spans="1:7" x14ac:dyDescent="0.35">
      <c r="A90" s="62">
        <v>91</v>
      </c>
      <c r="B90" s="63" t="s">
        <v>3447</v>
      </c>
      <c r="C90" s="62" t="s">
        <v>928</v>
      </c>
      <c r="D90" s="62" t="s">
        <v>453</v>
      </c>
      <c r="E90" s="62" t="s">
        <v>3448</v>
      </c>
      <c r="F90" s="62" t="s">
        <v>3449</v>
      </c>
      <c r="G90" s="64" t="s">
        <v>3450</v>
      </c>
    </row>
    <row r="91" spans="1:7" x14ac:dyDescent="0.35">
      <c r="A91" s="62">
        <v>92</v>
      </c>
      <c r="B91" s="63" t="s">
        <v>3451</v>
      </c>
      <c r="C91" s="62" t="s">
        <v>928</v>
      </c>
      <c r="D91" s="62" t="s">
        <v>453</v>
      </c>
      <c r="E91" s="62" t="s">
        <v>3452</v>
      </c>
      <c r="F91" s="62" t="s">
        <v>3453</v>
      </c>
      <c r="G91" s="64" t="s">
        <v>3454</v>
      </c>
    </row>
    <row r="92" spans="1:7" x14ac:dyDescent="0.35">
      <c r="A92" s="62">
        <v>93</v>
      </c>
      <c r="B92" s="63" t="s">
        <v>3455</v>
      </c>
      <c r="C92" s="62" t="s">
        <v>928</v>
      </c>
      <c r="D92" s="62" t="s">
        <v>453</v>
      </c>
      <c r="E92" s="62" t="s">
        <v>3456</v>
      </c>
      <c r="F92" s="62" t="s">
        <v>3457</v>
      </c>
      <c r="G92" s="64" t="s">
        <v>3458</v>
      </c>
    </row>
    <row r="93" spans="1:7" x14ac:dyDescent="0.35">
      <c r="A93" s="62">
        <v>94</v>
      </c>
      <c r="B93" s="63" t="s">
        <v>3459</v>
      </c>
      <c r="C93" s="62" t="s">
        <v>928</v>
      </c>
      <c r="D93" s="62" t="s">
        <v>453</v>
      </c>
      <c r="E93" s="62" t="s">
        <v>3460</v>
      </c>
      <c r="F93" s="62" t="s">
        <v>3461</v>
      </c>
      <c r="G93" s="64" t="s">
        <v>3462</v>
      </c>
    </row>
    <row r="94" spans="1:7" x14ac:dyDescent="0.35">
      <c r="A94" s="62">
        <v>95</v>
      </c>
      <c r="B94" s="63" t="s">
        <v>3463</v>
      </c>
      <c r="C94" s="62" t="s">
        <v>928</v>
      </c>
      <c r="D94" s="62" t="s">
        <v>453</v>
      </c>
      <c r="E94" s="62" t="s">
        <v>3464</v>
      </c>
      <c r="F94" s="62" t="s">
        <v>3465</v>
      </c>
      <c r="G94" s="64" t="s">
        <v>3466</v>
      </c>
    </row>
    <row r="95" spans="1:7" x14ac:dyDescent="0.35">
      <c r="A95" s="62">
        <v>96</v>
      </c>
      <c r="B95" s="63" t="s">
        <v>3467</v>
      </c>
      <c r="C95" s="62" t="s">
        <v>928</v>
      </c>
      <c r="D95" s="62" t="s">
        <v>453</v>
      </c>
      <c r="E95" s="62" t="s">
        <v>3468</v>
      </c>
      <c r="F95" s="62" t="s">
        <v>3469</v>
      </c>
      <c r="G95" s="64" t="s">
        <v>3470</v>
      </c>
    </row>
    <row r="96" spans="1:7" x14ac:dyDescent="0.35">
      <c r="A96" s="62">
        <v>97</v>
      </c>
      <c r="B96" s="63" t="s">
        <v>3471</v>
      </c>
      <c r="C96" s="62" t="s">
        <v>928</v>
      </c>
      <c r="D96" s="62" t="s">
        <v>453</v>
      </c>
      <c r="E96" s="62" t="s">
        <v>3472</v>
      </c>
      <c r="F96" s="62" t="s">
        <v>3473</v>
      </c>
      <c r="G96" s="64" t="s">
        <v>3474</v>
      </c>
    </row>
    <row r="97" spans="1:7" x14ac:dyDescent="0.35">
      <c r="A97" s="62">
        <v>98</v>
      </c>
      <c r="B97" s="63" t="s">
        <v>3475</v>
      </c>
      <c r="C97" s="62" t="s">
        <v>928</v>
      </c>
      <c r="D97" s="62" t="s">
        <v>453</v>
      </c>
      <c r="E97" s="62" t="s">
        <v>3476</v>
      </c>
      <c r="F97" s="62" t="s">
        <v>3477</v>
      </c>
      <c r="G97" s="64" t="s">
        <v>3478</v>
      </c>
    </row>
    <row r="98" spans="1:7" x14ac:dyDescent="0.35">
      <c r="A98" s="62">
        <v>99</v>
      </c>
      <c r="B98" s="63" t="s">
        <v>3479</v>
      </c>
      <c r="C98" s="62" t="s">
        <v>928</v>
      </c>
      <c r="D98" s="62" t="s">
        <v>453</v>
      </c>
      <c r="E98" s="62" t="s">
        <v>3480</v>
      </c>
      <c r="F98" s="62" t="s">
        <v>3481</v>
      </c>
      <c r="G98" s="64" t="s">
        <v>3482</v>
      </c>
    </row>
    <row r="99" spans="1:7" x14ac:dyDescent="0.35">
      <c r="A99" s="62">
        <v>100</v>
      </c>
      <c r="B99" s="63" t="s">
        <v>3483</v>
      </c>
      <c r="C99" s="62" t="s">
        <v>928</v>
      </c>
      <c r="D99" s="62" t="s">
        <v>453</v>
      </c>
      <c r="E99" s="62" t="s">
        <v>3484</v>
      </c>
      <c r="F99" s="62" t="s">
        <v>3485</v>
      </c>
      <c r="G99" s="64" t="s">
        <v>3486</v>
      </c>
    </row>
    <row r="100" spans="1:7" x14ac:dyDescent="0.35">
      <c r="A100" s="62">
        <v>101</v>
      </c>
      <c r="B100" s="63" t="s">
        <v>3487</v>
      </c>
      <c r="C100" s="62" t="s">
        <v>928</v>
      </c>
      <c r="D100" s="62" t="s">
        <v>453</v>
      </c>
      <c r="E100" s="62" t="s">
        <v>3488</v>
      </c>
      <c r="F100" s="62" t="s">
        <v>3489</v>
      </c>
      <c r="G100" s="64" t="s">
        <v>3490</v>
      </c>
    </row>
    <row r="101" spans="1:7" x14ac:dyDescent="0.35">
      <c r="A101" s="62">
        <v>102</v>
      </c>
      <c r="B101" s="63" t="s">
        <v>3491</v>
      </c>
      <c r="C101" s="62" t="s">
        <v>928</v>
      </c>
      <c r="D101" s="62" t="s">
        <v>453</v>
      </c>
      <c r="E101" s="62" t="s">
        <v>3492</v>
      </c>
      <c r="F101" s="62" t="s">
        <v>3493</v>
      </c>
      <c r="G101" s="64" t="s">
        <v>3494</v>
      </c>
    </row>
    <row r="102" spans="1:7" x14ac:dyDescent="0.35">
      <c r="A102" s="62">
        <v>103</v>
      </c>
      <c r="B102" s="63" t="s">
        <v>3495</v>
      </c>
      <c r="C102" s="62" t="s">
        <v>928</v>
      </c>
      <c r="D102" s="62" t="s">
        <v>453</v>
      </c>
      <c r="E102" s="62" t="s">
        <v>3496</v>
      </c>
      <c r="F102" s="62" t="s">
        <v>3497</v>
      </c>
      <c r="G102" s="64" t="s">
        <v>3498</v>
      </c>
    </row>
    <row r="103" spans="1:7" x14ac:dyDescent="0.35">
      <c r="A103" s="62">
        <v>104</v>
      </c>
      <c r="B103" s="63" t="s">
        <v>3499</v>
      </c>
      <c r="C103" s="62" t="s">
        <v>928</v>
      </c>
      <c r="D103" s="62" t="s">
        <v>453</v>
      </c>
      <c r="E103" s="62" t="s">
        <v>3500</v>
      </c>
      <c r="F103" s="62" t="s">
        <v>3501</v>
      </c>
      <c r="G103" s="64" t="s">
        <v>3502</v>
      </c>
    </row>
    <row r="104" spans="1:7" x14ac:dyDescent="0.35">
      <c r="A104" s="62">
        <v>105</v>
      </c>
      <c r="B104" s="63" t="s">
        <v>3503</v>
      </c>
      <c r="C104" s="62" t="s">
        <v>928</v>
      </c>
      <c r="D104" s="62" t="s">
        <v>453</v>
      </c>
      <c r="E104" s="62" t="s">
        <v>3504</v>
      </c>
      <c r="F104" s="62" t="s">
        <v>3505</v>
      </c>
      <c r="G104" s="64" t="s">
        <v>3506</v>
      </c>
    </row>
    <row r="105" spans="1:7" x14ac:dyDescent="0.35">
      <c r="A105" s="62">
        <v>106</v>
      </c>
      <c r="B105" s="63" t="s">
        <v>3507</v>
      </c>
      <c r="C105" s="62" t="s">
        <v>928</v>
      </c>
      <c r="D105" s="62" t="s">
        <v>453</v>
      </c>
      <c r="E105" s="62" t="s">
        <v>3508</v>
      </c>
      <c r="F105" s="62" t="s">
        <v>3509</v>
      </c>
      <c r="G105" s="64" t="s">
        <v>3510</v>
      </c>
    </row>
    <row r="106" spans="1:7" x14ac:dyDescent="0.35">
      <c r="A106" s="62">
        <v>107</v>
      </c>
      <c r="B106" s="63" t="s">
        <v>3511</v>
      </c>
      <c r="C106" s="62" t="s">
        <v>928</v>
      </c>
      <c r="D106" s="62" t="s">
        <v>453</v>
      </c>
      <c r="E106" s="62" t="s">
        <v>3512</v>
      </c>
      <c r="F106" s="62" t="s">
        <v>3513</v>
      </c>
      <c r="G106" s="64" t="s">
        <v>3514</v>
      </c>
    </row>
    <row r="107" spans="1:7" x14ac:dyDescent="0.35">
      <c r="A107" s="62">
        <v>108</v>
      </c>
      <c r="B107" s="63" t="s">
        <v>3515</v>
      </c>
      <c r="C107" s="62" t="s">
        <v>928</v>
      </c>
      <c r="D107" s="62" t="s">
        <v>453</v>
      </c>
      <c r="E107" s="62" t="s">
        <v>3516</v>
      </c>
      <c r="F107" s="62" t="s">
        <v>3517</v>
      </c>
      <c r="G107" s="64" t="s">
        <v>3518</v>
      </c>
    </row>
    <row r="108" spans="1:7" x14ac:dyDescent="0.35">
      <c r="A108" s="62">
        <v>109</v>
      </c>
      <c r="B108" s="63" t="s">
        <v>3519</v>
      </c>
      <c r="C108" s="62" t="s">
        <v>928</v>
      </c>
      <c r="D108" s="62" t="s">
        <v>453</v>
      </c>
      <c r="E108" s="62" t="s">
        <v>3520</v>
      </c>
      <c r="F108" s="62" t="s">
        <v>3521</v>
      </c>
      <c r="G108" s="64" t="s">
        <v>3522</v>
      </c>
    </row>
    <row r="109" spans="1:7" x14ac:dyDescent="0.35">
      <c r="A109" s="62">
        <v>110</v>
      </c>
      <c r="B109" s="63" t="s">
        <v>3523</v>
      </c>
      <c r="C109" s="62" t="s">
        <v>928</v>
      </c>
      <c r="D109" s="62" t="s">
        <v>453</v>
      </c>
      <c r="E109" s="62" t="s">
        <v>3524</v>
      </c>
      <c r="F109" s="62" t="s">
        <v>3525</v>
      </c>
      <c r="G109" s="64" t="s">
        <v>3526</v>
      </c>
    </row>
    <row r="110" spans="1:7" x14ac:dyDescent="0.35">
      <c r="A110" s="62">
        <v>111</v>
      </c>
      <c r="B110" s="63" t="s">
        <v>3196</v>
      </c>
      <c r="C110" s="62" t="s">
        <v>928</v>
      </c>
      <c r="D110" s="62" t="s">
        <v>480</v>
      </c>
      <c r="E110" s="62" t="s">
        <v>3527</v>
      </c>
      <c r="F110" s="62" t="s">
        <v>3527</v>
      </c>
      <c r="G110" s="64" t="s">
        <v>3299</v>
      </c>
    </row>
    <row r="111" spans="1:7" x14ac:dyDescent="0.35">
      <c r="A111" s="62">
        <v>112</v>
      </c>
      <c r="B111" s="63" t="s">
        <v>3528</v>
      </c>
      <c r="C111" s="62" t="s">
        <v>928</v>
      </c>
      <c r="D111" s="62" t="s">
        <v>453</v>
      </c>
      <c r="E111" s="62" t="s">
        <v>3529</v>
      </c>
      <c r="F111" s="62" t="s">
        <v>3530</v>
      </c>
      <c r="G111" s="64" t="s">
        <v>3531</v>
      </c>
    </row>
    <row r="112" spans="1:7" x14ac:dyDescent="0.35">
      <c r="A112" s="62">
        <v>113</v>
      </c>
      <c r="B112" s="63" t="s">
        <v>3532</v>
      </c>
      <c r="C112" s="62" t="s">
        <v>928</v>
      </c>
      <c r="D112" s="62" t="s">
        <v>453</v>
      </c>
      <c r="E112" s="62" t="s">
        <v>3533</v>
      </c>
      <c r="F112" s="62" t="s">
        <v>3534</v>
      </c>
      <c r="G112" s="64" t="s">
        <v>3535</v>
      </c>
    </row>
    <row r="113" spans="1:7" x14ac:dyDescent="0.35">
      <c r="A113" s="62">
        <v>114</v>
      </c>
      <c r="B113" s="63" t="s">
        <v>3536</v>
      </c>
      <c r="C113" s="62" t="s">
        <v>928</v>
      </c>
      <c r="D113" s="62" t="s">
        <v>453</v>
      </c>
      <c r="E113" s="62" t="s">
        <v>3537</v>
      </c>
      <c r="F113" s="62" t="s">
        <v>3538</v>
      </c>
      <c r="G113" s="64" t="s">
        <v>3539</v>
      </c>
    </row>
    <row r="114" spans="1:7" x14ac:dyDescent="0.35">
      <c r="A114" s="62">
        <v>115</v>
      </c>
      <c r="B114" s="63" t="s">
        <v>3540</v>
      </c>
      <c r="C114" s="62" t="s">
        <v>928</v>
      </c>
      <c r="D114" s="62" t="s">
        <v>453</v>
      </c>
      <c r="E114" s="62" t="s">
        <v>3541</v>
      </c>
      <c r="F114" s="62" t="s">
        <v>3542</v>
      </c>
      <c r="G114" s="64" t="s">
        <v>3543</v>
      </c>
    </row>
    <row r="115" spans="1:7" x14ac:dyDescent="0.35">
      <c r="A115" s="62">
        <v>116</v>
      </c>
      <c r="B115" s="63" t="s">
        <v>3544</v>
      </c>
      <c r="C115" s="62" t="s">
        <v>928</v>
      </c>
      <c r="D115" s="62" t="s">
        <v>453</v>
      </c>
      <c r="E115" s="62" t="s">
        <v>3545</v>
      </c>
      <c r="F115" s="62" t="s">
        <v>3546</v>
      </c>
      <c r="G115" s="64" t="s">
        <v>3547</v>
      </c>
    </row>
    <row r="116" spans="1:7" x14ac:dyDescent="0.35">
      <c r="A116" s="62">
        <v>117</v>
      </c>
      <c r="B116" s="63" t="s">
        <v>3548</v>
      </c>
      <c r="C116" s="62" t="s">
        <v>928</v>
      </c>
      <c r="D116" s="62" t="s">
        <v>453</v>
      </c>
      <c r="E116" s="62" t="s">
        <v>3549</v>
      </c>
      <c r="F116" s="62" t="s">
        <v>3550</v>
      </c>
      <c r="G116" s="64" t="s">
        <v>3551</v>
      </c>
    </row>
    <row r="117" spans="1:7" x14ac:dyDescent="0.35">
      <c r="A117" s="62">
        <v>118</v>
      </c>
      <c r="B117" s="63" t="s">
        <v>3552</v>
      </c>
      <c r="C117" s="62" t="s">
        <v>928</v>
      </c>
      <c r="D117" s="62" t="s">
        <v>453</v>
      </c>
      <c r="E117" s="62" t="s">
        <v>3553</v>
      </c>
      <c r="F117" s="62" t="s">
        <v>3554</v>
      </c>
      <c r="G117" s="64" t="s">
        <v>3555</v>
      </c>
    </row>
    <row r="118" spans="1:7" x14ac:dyDescent="0.35">
      <c r="A118" s="62">
        <v>119</v>
      </c>
      <c r="B118" s="63" t="s">
        <v>3556</v>
      </c>
      <c r="C118" s="62" t="s">
        <v>928</v>
      </c>
      <c r="D118" s="62" t="s">
        <v>453</v>
      </c>
      <c r="E118" s="62" t="s">
        <v>3557</v>
      </c>
      <c r="F118" s="62" t="s">
        <v>3558</v>
      </c>
      <c r="G118" s="64" t="s">
        <v>3559</v>
      </c>
    </row>
    <row r="119" spans="1:7" x14ac:dyDescent="0.35">
      <c r="A119" s="62">
        <v>120</v>
      </c>
      <c r="B119" s="63" t="s">
        <v>3560</v>
      </c>
      <c r="C119" s="62" t="s">
        <v>928</v>
      </c>
      <c r="D119" s="62" t="s">
        <v>453</v>
      </c>
      <c r="E119" s="62" t="s">
        <v>3561</v>
      </c>
      <c r="F119" s="62" t="s">
        <v>3562</v>
      </c>
      <c r="G119" s="64" t="s">
        <v>3563</v>
      </c>
    </row>
    <row r="120" spans="1:7" x14ac:dyDescent="0.35">
      <c r="A120" s="62">
        <v>121</v>
      </c>
      <c r="B120" s="63" t="s">
        <v>3564</v>
      </c>
      <c r="C120" s="62" t="s">
        <v>928</v>
      </c>
      <c r="D120" s="62" t="s">
        <v>453</v>
      </c>
      <c r="E120" s="62" t="s">
        <v>3565</v>
      </c>
      <c r="F120" s="62" t="s">
        <v>3566</v>
      </c>
      <c r="G120" s="64" t="s">
        <v>3567</v>
      </c>
    </row>
    <row r="121" spans="1:7" x14ac:dyDescent="0.35">
      <c r="A121" s="62">
        <v>122</v>
      </c>
      <c r="B121" s="63" t="s">
        <v>3568</v>
      </c>
      <c r="C121" s="62" t="s">
        <v>928</v>
      </c>
      <c r="D121" s="62" t="s">
        <v>453</v>
      </c>
      <c r="E121" s="62" t="s">
        <v>3569</v>
      </c>
      <c r="F121" s="62" t="s">
        <v>3570</v>
      </c>
      <c r="G121" s="64" t="s">
        <v>3571</v>
      </c>
    </row>
    <row r="122" spans="1:7" x14ac:dyDescent="0.35">
      <c r="A122" s="62">
        <v>123</v>
      </c>
      <c r="B122" s="63" t="s">
        <v>3196</v>
      </c>
      <c r="C122" s="62" t="s">
        <v>928</v>
      </c>
      <c r="D122" s="62" t="s">
        <v>480</v>
      </c>
      <c r="E122" s="62" t="s">
        <v>3572</v>
      </c>
      <c r="F122" s="62" t="s">
        <v>3572</v>
      </c>
      <c r="G122" s="64" t="s">
        <v>3299</v>
      </c>
    </row>
    <row r="123" spans="1:7" x14ac:dyDescent="0.35">
      <c r="A123" s="62">
        <v>124</v>
      </c>
      <c r="B123" s="63" t="s">
        <v>3573</v>
      </c>
      <c r="C123" s="62" t="s">
        <v>928</v>
      </c>
      <c r="D123" s="62" t="s">
        <v>453</v>
      </c>
      <c r="E123" s="62" t="s">
        <v>3574</v>
      </c>
      <c r="F123" s="62" t="s">
        <v>3575</v>
      </c>
      <c r="G123" s="64" t="s">
        <v>3576</v>
      </c>
    </row>
    <row r="124" spans="1:7" x14ac:dyDescent="0.35">
      <c r="A124" s="62">
        <v>125</v>
      </c>
      <c r="B124" s="63" t="s">
        <v>3577</v>
      </c>
      <c r="C124" s="62" t="s">
        <v>928</v>
      </c>
      <c r="D124" s="62" t="s">
        <v>453</v>
      </c>
      <c r="E124" s="62" t="s">
        <v>3578</v>
      </c>
      <c r="F124" s="62" t="s">
        <v>3579</v>
      </c>
      <c r="G124" s="64" t="s">
        <v>3580</v>
      </c>
    </row>
    <row r="125" spans="1:7" x14ac:dyDescent="0.35">
      <c r="A125" s="62">
        <v>126</v>
      </c>
      <c r="B125" s="63" t="s">
        <v>3577</v>
      </c>
      <c r="C125" s="62" t="s">
        <v>928</v>
      </c>
      <c r="D125" s="62" t="s">
        <v>480</v>
      </c>
      <c r="E125" s="62" t="s">
        <v>3581</v>
      </c>
      <c r="F125" s="62" t="s">
        <v>3581</v>
      </c>
      <c r="G125" s="64" t="s">
        <v>3580</v>
      </c>
    </row>
    <row r="126" spans="1:7" x14ac:dyDescent="0.35">
      <c r="A126" s="62">
        <v>127</v>
      </c>
      <c r="B126" s="63" t="s">
        <v>3196</v>
      </c>
      <c r="C126" s="62" t="s">
        <v>928</v>
      </c>
      <c r="D126" s="62" t="s">
        <v>453</v>
      </c>
      <c r="E126" s="62" t="s">
        <v>3582</v>
      </c>
      <c r="F126" s="62" t="s">
        <v>3582</v>
      </c>
      <c r="G126" s="64" t="s">
        <v>3583</v>
      </c>
    </row>
    <row r="127" spans="1:7" x14ac:dyDescent="0.35">
      <c r="A127" s="62">
        <v>128</v>
      </c>
      <c r="B127" s="63" t="s">
        <v>3583</v>
      </c>
      <c r="C127" s="62" t="s">
        <v>928</v>
      </c>
      <c r="D127" s="62" t="s">
        <v>453</v>
      </c>
      <c r="E127" s="62" t="s">
        <v>3584</v>
      </c>
      <c r="F127" s="62" t="s">
        <v>3585</v>
      </c>
      <c r="G127" s="64" t="s">
        <v>3586</v>
      </c>
    </row>
    <row r="128" spans="1:7" x14ac:dyDescent="0.35">
      <c r="A128" s="62">
        <v>129</v>
      </c>
      <c r="B128" s="63" t="s">
        <v>3587</v>
      </c>
      <c r="C128" s="62" t="s">
        <v>928</v>
      </c>
      <c r="D128" s="62" t="s">
        <v>453</v>
      </c>
      <c r="E128" s="62" t="s">
        <v>3588</v>
      </c>
      <c r="F128" s="62" t="s">
        <v>3589</v>
      </c>
      <c r="G128" s="64" t="s">
        <v>3590</v>
      </c>
    </row>
    <row r="129" spans="1:7" x14ac:dyDescent="0.35">
      <c r="A129" s="62">
        <v>130</v>
      </c>
      <c r="B129" s="63" t="s">
        <v>3591</v>
      </c>
      <c r="C129" s="62" t="s">
        <v>928</v>
      </c>
      <c r="D129" s="62" t="s">
        <v>453</v>
      </c>
      <c r="E129" s="62" t="s">
        <v>3592</v>
      </c>
      <c r="F129" s="62" t="s">
        <v>3593</v>
      </c>
      <c r="G129" s="64" t="s">
        <v>3594</v>
      </c>
    </row>
    <row r="130" spans="1:7" x14ac:dyDescent="0.35">
      <c r="A130" s="62">
        <v>131</v>
      </c>
      <c r="B130" s="63" t="s">
        <v>3595</v>
      </c>
      <c r="C130" s="62" t="s">
        <v>928</v>
      </c>
      <c r="D130" s="62" t="s">
        <v>453</v>
      </c>
      <c r="E130" s="62" t="s">
        <v>3596</v>
      </c>
      <c r="F130" s="62" t="s">
        <v>3597</v>
      </c>
      <c r="G130" s="64" t="s">
        <v>3598</v>
      </c>
    </row>
    <row r="131" spans="1:7" x14ac:dyDescent="0.35">
      <c r="A131" s="62">
        <v>132</v>
      </c>
      <c r="B131" s="63" t="s">
        <v>3599</v>
      </c>
      <c r="C131" s="62" t="s">
        <v>928</v>
      </c>
      <c r="D131" s="62" t="s">
        <v>453</v>
      </c>
      <c r="E131" s="62" t="s">
        <v>3600</v>
      </c>
      <c r="F131" s="62" t="s">
        <v>3601</v>
      </c>
      <c r="G131" s="64" t="s">
        <v>3602</v>
      </c>
    </row>
    <row r="132" spans="1:7" x14ac:dyDescent="0.35">
      <c r="A132" s="62">
        <v>133</v>
      </c>
      <c r="B132" s="63" t="s">
        <v>3603</v>
      </c>
      <c r="C132" s="62" t="s">
        <v>928</v>
      </c>
      <c r="D132" s="62" t="s">
        <v>453</v>
      </c>
      <c r="E132" s="62" t="s">
        <v>3604</v>
      </c>
      <c r="F132" s="62" t="s">
        <v>3605</v>
      </c>
      <c r="G132" s="64" t="s">
        <v>3606</v>
      </c>
    </row>
    <row r="133" spans="1:7" x14ac:dyDescent="0.35">
      <c r="A133" s="62">
        <v>134</v>
      </c>
      <c r="B133" s="63" t="s">
        <v>3196</v>
      </c>
      <c r="C133" s="62" t="s">
        <v>928</v>
      </c>
      <c r="D133" s="62" t="s">
        <v>480</v>
      </c>
      <c r="E133" s="62" t="s">
        <v>3607</v>
      </c>
      <c r="F133" s="62" t="s">
        <v>3607</v>
      </c>
      <c r="G133" s="64" t="s">
        <v>3299</v>
      </c>
    </row>
    <row r="134" spans="1:7" x14ac:dyDescent="0.35">
      <c r="A134" s="62">
        <v>135</v>
      </c>
      <c r="B134" s="63" t="s">
        <v>3608</v>
      </c>
      <c r="C134" s="62" t="s">
        <v>928</v>
      </c>
      <c r="D134" s="62" t="s">
        <v>453</v>
      </c>
      <c r="E134" s="62" t="s">
        <v>3609</v>
      </c>
      <c r="F134" s="62" t="s">
        <v>3610</v>
      </c>
      <c r="G134" s="64" t="s">
        <v>3611</v>
      </c>
    </row>
    <row r="135" spans="1:7" x14ac:dyDescent="0.35">
      <c r="A135" s="62">
        <v>136</v>
      </c>
      <c r="B135" s="63" t="s">
        <v>3612</v>
      </c>
      <c r="C135" s="62" t="s">
        <v>928</v>
      </c>
      <c r="D135" s="62" t="s">
        <v>453</v>
      </c>
      <c r="E135" s="62" t="s">
        <v>3613</v>
      </c>
      <c r="F135" s="62" t="s">
        <v>3614</v>
      </c>
      <c r="G135" s="64" t="s">
        <v>3615</v>
      </c>
    </row>
    <row r="136" spans="1:7" x14ac:dyDescent="0.35">
      <c r="A136" s="62">
        <v>137</v>
      </c>
      <c r="B136" s="63" t="s">
        <v>3196</v>
      </c>
      <c r="C136" s="62" t="s">
        <v>928</v>
      </c>
      <c r="D136" s="62" t="s">
        <v>480</v>
      </c>
      <c r="E136" s="62" t="s">
        <v>3616</v>
      </c>
      <c r="F136" s="62" t="s">
        <v>3616</v>
      </c>
      <c r="G136" s="64" t="s">
        <v>3299</v>
      </c>
    </row>
    <row r="137" spans="1:7" x14ac:dyDescent="0.35">
      <c r="A137" s="62">
        <v>138</v>
      </c>
      <c r="B137" s="63" t="s">
        <v>3617</v>
      </c>
      <c r="C137" s="62" t="s">
        <v>928</v>
      </c>
      <c r="D137" s="62" t="s">
        <v>453</v>
      </c>
      <c r="E137" s="62" t="s">
        <v>3618</v>
      </c>
      <c r="F137" s="62" t="s">
        <v>3619</v>
      </c>
      <c r="G137" s="64" t="s">
        <v>3620</v>
      </c>
    </row>
    <row r="138" spans="1:7" x14ac:dyDescent="0.35">
      <c r="A138" s="62">
        <v>139</v>
      </c>
      <c r="B138" s="63" t="s">
        <v>3621</v>
      </c>
      <c r="C138" s="62" t="s">
        <v>928</v>
      </c>
      <c r="D138" s="62" t="s">
        <v>453</v>
      </c>
      <c r="E138" s="62" t="s">
        <v>3622</v>
      </c>
      <c r="F138" s="62" t="s">
        <v>3623</v>
      </c>
      <c r="G138" s="64" t="s">
        <v>3624</v>
      </c>
    </row>
    <row r="139" spans="1:7" x14ac:dyDescent="0.35">
      <c r="A139" s="62">
        <v>140</v>
      </c>
      <c r="B139" s="63" t="s">
        <v>3625</v>
      </c>
      <c r="C139" s="62" t="s">
        <v>928</v>
      </c>
      <c r="D139" s="62" t="s">
        <v>453</v>
      </c>
      <c r="E139" s="62" t="s">
        <v>3626</v>
      </c>
      <c r="F139" s="62" t="s">
        <v>3627</v>
      </c>
      <c r="G139" s="64" t="s">
        <v>3628</v>
      </c>
    </row>
    <row r="140" spans="1:7" x14ac:dyDescent="0.35">
      <c r="A140" s="62">
        <v>141</v>
      </c>
      <c r="B140" s="63" t="s">
        <v>3629</v>
      </c>
      <c r="C140" s="62" t="s">
        <v>928</v>
      </c>
      <c r="D140" s="62" t="s">
        <v>453</v>
      </c>
      <c r="E140" s="62" t="s">
        <v>3630</v>
      </c>
      <c r="F140" s="62" t="s">
        <v>3631</v>
      </c>
      <c r="G140" s="64" t="s">
        <v>3632</v>
      </c>
    </row>
    <row r="141" spans="1:7" x14ac:dyDescent="0.35">
      <c r="A141" s="62">
        <v>142</v>
      </c>
      <c r="B141" s="63" t="s">
        <v>3633</v>
      </c>
      <c r="C141" s="62" t="s">
        <v>928</v>
      </c>
      <c r="D141" s="62" t="s">
        <v>453</v>
      </c>
      <c r="E141" s="62" t="s">
        <v>3634</v>
      </c>
      <c r="F141" s="62" t="s">
        <v>3635</v>
      </c>
      <c r="G141" s="64" t="s">
        <v>3636</v>
      </c>
    </row>
    <row r="142" spans="1:7" x14ac:dyDescent="0.35">
      <c r="A142" s="62">
        <v>143</v>
      </c>
      <c r="B142" s="63" t="s">
        <v>3637</v>
      </c>
      <c r="C142" s="62" t="s">
        <v>928</v>
      </c>
      <c r="D142" s="62" t="s">
        <v>453</v>
      </c>
      <c r="E142" s="62" t="s">
        <v>3638</v>
      </c>
      <c r="F142" s="62" t="s">
        <v>3638</v>
      </c>
      <c r="G142" s="64" t="s">
        <v>3637</v>
      </c>
    </row>
    <row r="143" spans="1:7" x14ac:dyDescent="0.35">
      <c r="A143" s="62">
        <v>144</v>
      </c>
      <c r="B143" s="63" t="s">
        <v>3639</v>
      </c>
      <c r="C143" s="62" t="s">
        <v>928</v>
      </c>
      <c r="D143" s="62" t="s">
        <v>453</v>
      </c>
      <c r="E143" s="62" t="s">
        <v>3640</v>
      </c>
      <c r="F143" s="62" t="s">
        <v>3641</v>
      </c>
      <c r="G143" s="64" t="s">
        <v>3642</v>
      </c>
    </row>
    <row r="144" spans="1:7" x14ac:dyDescent="0.35">
      <c r="A144" s="62">
        <v>145</v>
      </c>
      <c r="B144" s="63" t="s">
        <v>3643</v>
      </c>
      <c r="C144" s="62" t="s">
        <v>928</v>
      </c>
      <c r="D144" s="62" t="s">
        <v>453</v>
      </c>
      <c r="E144" s="62" t="s">
        <v>3644</v>
      </c>
      <c r="F144" s="62" t="s">
        <v>3645</v>
      </c>
      <c r="G144" s="64" t="s">
        <v>3646</v>
      </c>
    </row>
    <row r="145" spans="1:7" x14ac:dyDescent="0.35">
      <c r="A145" s="62">
        <v>146</v>
      </c>
      <c r="B145" s="63" t="s">
        <v>3196</v>
      </c>
      <c r="C145" s="62" t="s">
        <v>928</v>
      </c>
      <c r="D145" s="62" t="s">
        <v>480</v>
      </c>
      <c r="E145" s="62" t="s">
        <v>3647</v>
      </c>
      <c r="F145" s="62" t="s">
        <v>3647</v>
      </c>
      <c r="G145" s="64" t="s">
        <v>3299</v>
      </c>
    </row>
    <row r="146" spans="1:7" x14ac:dyDescent="0.35">
      <c r="A146" s="62">
        <v>147</v>
      </c>
      <c r="B146" s="63" t="s">
        <v>3648</v>
      </c>
      <c r="C146" s="62" t="s">
        <v>928</v>
      </c>
      <c r="D146" s="62" t="s">
        <v>453</v>
      </c>
      <c r="E146" s="62" t="s">
        <v>3649</v>
      </c>
      <c r="F146" s="62" t="s">
        <v>3650</v>
      </c>
      <c r="G146" s="64" t="s">
        <v>3651</v>
      </c>
    </row>
    <row r="147" spans="1:7" x14ac:dyDescent="0.35">
      <c r="A147" s="62">
        <v>148</v>
      </c>
      <c r="B147" s="63" t="s">
        <v>3652</v>
      </c>
      <c r="C147" s="62" t="s">
        <v>928</v>
      </c>
      <c r="D147" s="62" t="s">
        <v>453</v>
      </c>
      <c r="E147" s="62" t="s">
        <v>3653</v>
      </c>
      <c r="F147" s="62" t="s">
        <v>3654</v>
      </c>
      <c r="G147" s="64" t="s">
        <v>3652</v>
      </c>
    </row>
    <row r="148" spans="1:7" x14ac:dyDescent="0.35">
      <c r="A148" s="62">
        <v>149</v>
      </c>
      <c r="B148" s="63" t="s">
        <v>3655</v>
      </c>
      <c r="C148" s="62" t="s">
        <v>928</v>
      </c>
      <c r="D148" s="62" t="s">
        <v>453</v>
      </c>
      <c r="E148" s="62" t="s">
        <v>3656</v>
      </c>
      <c r="F148" s="62" t="s">
        <v>3657</v>
      </c>
      <c r="G148" s="64" t="s">
        <v>3658</v>
      </c>
    </row>
    <row r="149" spans="1:7" x14ac:dyDescent="0.35">
      <c r="A149" s="62">
        <v>150</v>
      </c>
      <c r="B149" s="63" t="s">
        <v>3659</v>
      </c>
      <c r="C149" s="62" t="s">
        <v>928</v>
      </c>
      <c r="D149" s="62" t="s">
        <v>453</v>
      </c>
      <c r="E149" s="62" t="s">
        <v>3660</v>
      </c>
      <c r="F149" s="62" t="s">
        <v>3661</v>
      </c>
      <c r="G149" s="64" t="s">
        <v>3662</v>
      </c>
    </row>
    <row r="150" spans="1:7" x14ac:dyDescent="0.35">
      <c r="A150" s="62">
        <v>151</v>
      </c>
      <c r="B150" s="63" t="s">
        <v>3663</v>
      </c>
      <c r="C150" s="62" t="s">
        <v>928</v>
      </c>
      <c r="D150" s="62" t="s">
        <v>453</v>
      </c>
      <c r="E150" s="62" t="s">
        <v>3664</v>
      </c>
      <c r="F150" s="62" t="s">
        <v>3665</v>
      </c>
      <c r="G150" s="64" t="s">
        <v>3666</v>
      </c>
    </row>
    <row r="151" spans="1:7" x14ac:dyDescent="0.35">
      <c r="A151" s="62">
        <v>152</v>
      </c>
      <c r="B151" s="63" t="s">
        <v>3667</v>
      </c>
      <c r="C151" s="62" t="s">
        <v>928</v>
      </c>
      <c r="D151" s="62" t="s">
        <v>453</v>
      </c>
      <c r="E151" s="62" t="s">
        <v>3668</v>
      </c>
      <c r="F151" s="62" t="s">
        <v>3669</v>
      </c>
      <c r="G151" s="64" t="s">
        <v>3670</v>
      </c>
    </row>
    <row r="152" spans="1:7" x14ac:dyDescent="0.35">
      <c r="A152" s="62">
        <v>153</v>
      </c>
      <c r="B152" s="63" t="s">
        <v>3671</v>
      </c>
      <c r="C152" s="62" t="s">
        <v>928</v>
      </c>
      <c r="D152" s="62" t="s">
        <v>453</v>
      </c>
      <c r="E152" s="62" t="s">
        <v>3672</v>
      </c>
      <c r="F152" s="62" t="s">
        <v>3673</v>
      </c>
      <c r="G152" s="64" t="s">
        <v>3674</v>
      </c>
    </row>
    <row r="153" spans="1:7" x14ac:dyDescent="0.35">
      <c r="A153" s="62">
        <v>154</v>
      </c>
      <c r="B153" s="63" t="s">
        <v>3675</v>
      </c>
      <c r="C153" s="62" t="s">
        <v>928</v>
      </c>
      <c r="D153" s="62" t="s">
        <v>453</v>
      </c>
      <c r="E153" s="62" t="s">
        <v>3676</v>
      </c>
      <c r="F153" s="62" t="s">
        <v>3677</v>
      </c>
      <c r="G153" s="64" t="s">
        <v>3678</v>
      </c>
    </row>
    <row r="154" spans="1:7" x14ac:dyDescent="0.35">
      <c r="A154" s="62">
        <v>155</v>
      </c>
      <c r="B154" s="63" t="s">
        <v>3679</v>
      </c>
      <c r="C154" s="62" t="s">
        <v>928</v>
      </c>
      <c r="D154" s="62" t="s">
        <v>453</v>
      </c>
      <c r="E154" s="62" t="s">
        <v>3680</v>
      </c>
      <c r="F154" s="62" t="s">
        <v>3681</v>
      </c>
      <c r="G154" s="64" t="s">
        <v>3682</v>
      </c>
    </row>
    <row r="155" spans="1:7" x14ac:dyDescent="0.35">
      <c r="A155" s="62">
        <v>156</v>
      </c>
      <c r="B155" s="63" t="s">
        <v>3683</v>
      </c>
      <c r="C155" s="62" t="s">
        <v>928</v>
      </c>
      <c r="D155" s="62" t="s">
        <v>453</v>
      </c>
      <c r="E155" s="62" t="s">
        <v>3684</v>
      </c>
      <c r="F155" s="62" t="s">
        <v>3685</v>
      </c>
      <c r="G155" s="64" t="s">
        <v>3686</v>
      </c>
    </row>
    <row r="156" spans="1:7" x14ac:dyDescent="0.35">
      <c r="A156" s="62">
        <v>157</v>
      </c>
      <c r="B156" s="63" t="s">
        <v>3687</v>
      </c>
      <c r="C156" s="62" t="s">
        <v>928</v>
      </c>
      <c r="D156" s="62" t="s">
        <v>453</v>
      </c>
      <c r="E156" s="62" t="s">
        <v>3688</v>
      </c>
      <c r="F156" s="62" t="s">
        <v>3688</v>
      </c>
      <c r="G156" s="64" t="s">
        <v>3687</v>
      </c>
    </row>
    <row r="157" spans="1:7" x14ac:dyDescent="0.35">
      <c r="A157" s="62">
        <v>158</v>
      </c>
      <c r="B157" s="63" t="s">
        <v>3689</v>
      </c>
      <c r="C157" s="62" t="s">
        <v>928</v>
      </c>
      <c r="D157" s="62" t="s">
        <v>453</v>
      </c>
      <c r="E157" s="62" t="s">
        <v>3690</v>
      </c>
      <c r="F157" s="62" t="s">
        <v>3691</v>
      </c>
      <c r="G157" s="64" t="s">
        <v>3692</v>
      </c>
    </row>
    <row r="158" spans="1:7" x14ac:dyDescent="0.35">
      <c r="A158" s="62">
        <v>159</v>
      </c>
      <c r="B158" s="63" t="s">
        <v>3693</v>
      </c>
      <c r="C158" s="62" t="s">
        <v>928</v>
      </c>
      <c r="D158" s="62" t="s">
        <v>453</v>
      </c>
      <c r="E158" s="62" t="s">
        <v>3694</v>
      </c>
      <c r="F158" s="62" t="s">
        <v>3695</v>
      </c>
      <c r="G158" s="64" t="s">
        <v>3696</v>
      </c>
    </row>
    <row r="159" spans="1:7" x14ac:dyDescent="0.35">
      <c r="A159" s="62">
        <v>160</v>
      </c>
      <c r="B159" s="63" t="s">
        <v>3697</v>
      </c>
      <c r="C159" s="62" t="s">
        <v>928</v>
      </c>
      <c r="D159" s="62" t="s">
        <v>453</v>
      </c>
      <c r="E159" s="62" t="s">
        <v>3698</v>
      </c>
      <c r="F159" s="62" t="s">
        <v>3699</v>
      </c>
      <c r="G159" s="64" t="s">
        <v>3700</v>
      </c>
    </row>
    <row r="160" spans="1:7" x14ac:dyDescent="0.35">
      <c r="A160" s="62">
        <v>161</v>
      </c>
      <c r="B160" s="63" t="s">
        <v>3701</v>
      </c>
      <c r="C160" s="62" t="s">
        <v>928</v>
      </c>
      <c r="D160" s="62" t="s">
        <v>453</v>
      </c>
      <c r="E160" s="62" t="s">
        <v>3702</v>
      </c>
      <c r="F160" s="62" t="s">
        <v>3703</v>
      </c>
      <c r="G160" s="64" t="s">
        <v>3704</v>
      </c>
    </row>
    <row r="161" spans="1:7" x14ac:dyDescent="0.35">
      <c r="A161" s="62">
        <v>162</v>
      </c>
      <c r="B161" s="63" t="s">
        <v>3705</v>
      </c>
      <c r="C161" s="62" t="s">
        <v>928</v>
      </c>
      <c r="D161" s="62" t="s">
        <v>453</v>
      </c>
      <c r="E161" s="62" t="s">
        <v>3706</v>
      </c>
      <c r="F161" s="62" t="s">
        <v>3707</v>
      </c>
      <c r="G161" s="64" t="s">
        <v>3708</v>
      </c>
    </row>
    <row r="162" spans="1:7" x14ac:dyDescent="0.35">
      <c r="A162" s="62">
        <v>163</v>
      </c>
      <c r="B162" s="63" t="s">
        <v>3196</v>
      </c>
      <c r="C162" s="62" t="s">
        <v>928</v>
      </c>
      <c r="D162" s="62" t="s">
        <v>480</v>
      </c>
      <c r="E162" s="62" t="s">
        <v>3709</v>
      </c>
      <c r="F162" s="62" t="s">
        <v>3709</v>
      </c>
      <c r="G162" s="64" t="s">
        <v>3299</v>
      </c>
    </row>
    <row r="163" spans="1:7" x14ac:dyDescent="0.35">
      <c r="A163" s="62">
        <v>164</v>
      </c>
      <c r="B163" s="63" t="s">
        <v>3710</v>
      </c>
      <c r="C163" s="62" t="s">
        <v>928</v>
      </c>
      <c r="D163" s="62" t="s">
        <v>453</v>
      </c>
      <c r="E163" s="62" t="s">
        <v>3711</v>
      </c>
      <c r="F163" s="62" t="s">
        <v>3712</v>
      </c>
      <c r="G163" s="64" t="s">
        <v>3713</v>
      </c>
    </row>
    <row r="164" spans="1:7" x14ac:dyDescent="0.35">
      <c r="A164" s="62">
        <v>165</v>
      </c>
      <c r="B164" s="63" t="s">
        <v>3714</v>
      </c>
      <c r="C164" s="62" t="s">
        <v>928</v>
      </c>
      <c r="D164" s="62" t="s">
        <v>453</v>
      </c>
      <c r="E164" s="62" t="s">
        <v>3715</v>
      </c>
      <c r="F164" s="62" t="s">
        <v>3716</v>
      </c>
      <c r="G164" s="64" t="s">
        <v>3717</v>
      </c>
    </row>
    <row r="165" spans="1:7" x14ac:dyDescent="0.35">
      <c r="A165" s="62">
        <v>166</v>
      </c>
      <c r="B165" s="63" t="s">
        <v>3718</v>
      </c>
      <c r="C165" s="62" t="s">
        <v>928</v>
      </c>
      <c r="D165" s="62" t="s">
        <v>453</v>
      </c>
      <c r="E165" s="62" t="s">
        <v>3719</v>
      </c>
      <c r="F165" s="62" t="s">
        <v>3720</v>
      </c>
      <c r="G165" s="64" t="s">
        <v>3721</v>
      </c>
    </row>
    <row r="166" spans="1:7" x14ac:dyDescent="0.35">
      <c r="A166" s="62">
        <v>167</v>
      </c>
      <c r="B166" s="63" t="s">
        <v>3722</v>
      </c>
      <c r="C166" s="62" t="s">
        <v>928</v>
      </c>
      <c r="D166" s="62" t="s">
        <v>453</v>
      </c>
      <c r="E166" s="62" t="s">
        <v>3723</v>
      </c>
      <c r="F166" s="62" t="s">
        <v>3724</v>
      </c>
      <c r="G166" s="64" t="s">
        <v>3725</v>
      </c>
    </row>
    <row r="167" spans="1:7" x14ac:dyDescent="0.35">
      <c r="A167" s="62">
        <v>168</v>
      </c>
      <c r="B167" s="63" t="s">
        <v>3726</v>
      </c>
      <c r="C167" s="62" t="s">
        <v>928</v>
      </c>
      <c r="D167" s="62" t="s">
        <v>453</v>
      </c>
      <c r="E167" s="62" t="s">
        <v>3727</v>
      </c>
      <c r="F167" s="62" t="s">
        <v>3728</v>
      </c>
      <c r="G167" s="64" t="s">
        <v>3729</v>
      </c>
    </row>
    <row r="168" spans="1:7" x14ac:dyDescent="0.35">
      <c r="A168" s="62">
        <v>169</v>
      </c>
      <c r="B168" s="63" t="s">
        <v>3730</v>
      </c>
      <c r="C168" s="62" t="s">
        <v>928</v>
      </c>
      <c r="D168" s="62" t="s">
        <v>453</v>
      </c>
      <c r="E168" s="62" t="s">
        <v>3731</v>
      </c>
      <c r="F168" s="62" t="s">
        <v>3732</v>
      </c>
      <c r="G168" s="64" t="s">
        <v>3733</v>
      </c>
    </row>
    <row r="169" spans="1:7" x14ac:dyDescent="0.35">
      <c r="A169" s="62">
        <v>170</v>
      </c>
      <c r="B169" s="63" t="s">
        <v>3734</v>
      </c>
      <c r="C169" s="62" t="s">
        <v>928</v>
      </c>
      <c r="D169" s="62" t="s">
        <v>453</v>
      </c>
      <c r="E169" s="62" t="s">
        <v>3735</v>
      </c>
      <c r="F169" s="62" t="s">
        <v>3736</v>
      </c>
      <c r="G169" s="64" t="s">
        <v>3737</v>
      </c>
    </row>
    <row r="170" spans="1:7" x14ac:dyDescent="0.35">
      <c r="A170" s="62">
        <v>171</v>
      </c>
      <c r="B170" s="63" t="s">
        <v>3738</v>
      </c>
      <c r="C170" s="62" t="s">
        <v>928</v>
      </c>
      <c r="D170" s="62" t="s">
        <v>453</v>
      </c>
      <c r="E170" s="62" t="s">
        <v>3739</v>
      </c>
      <c r="F170" s="62" t="s">
        <v>3740</v>
      </c>
      <c r="G170" s="64" t="s">
        <v>3741</v>
      </c>
    </row>
    <row r="171" spans="1:7" x14ac:dyDescent="0.35">
      <c r="A171" s="62">
        <v>172</v>
      </c>
      <c r="B171" s="63" t="s">
        <v>3742</v>
      </c>
      <c r="C171" s="62" t="s">
        <v>928</v>
      </c>
      <c r="D171" s="62" t="s">
        <v>453</v>
      </c>
      <c r="E171" s="62" t="s">
        <v>3743</v>
      </c>
      <c r="F171" s="62" t="s">
        <v>3744</v>
      </c>
      <c r="G171" s="64" t="s">
        <v>3745</v>
      </c>
    </row>
    <row r="172" spans="1:7" x14ac:dyDescent="0.35">
      <c r="A172" s="62">
        <v>173</v>
      </c>
      <c r="B172" s="63" t="s">
        <v>3746</v>
      </c>
      <c r="C172" s="62" t="s">
        <v>928</v>
      </c>
      <c r="D172" s="62" t="s">
        <v>453</v>
      </c>
      <c r="E172" s="62" t="s">
        <v>3747</v>
      </c>
      <c r="F172" s="62" t="s">
        <v>3748</v>
      </c>
      <c r="G172" s="64" t="s">
        <v>3749</v>
      </c>
    </row>
    <row r="173" spans="1:7" x14ac:dyDescent="0.35">
      <c r="A173" s="62">
        <v>174</v>
      </c>
      <c r="B173" s="63" t="s">
        <v>3750</v>
      </c>
      <c r="C173" s="62" t="s">
        <v>928</v>
      </c>
      <c r="D173" s="62" t="s">
        <v>453</v>
      </c>
      <c r="E173" s="62" t="s">
        <v>3751</v>
      </c>
      <c r="F173" s="62" t="s">
        <v>3752</v>
      </c>
      <c r="G173" s="64" t="s">
        <v>3753</v>
      </c>
    </row>
    <row r="174" spans="1:7" x14ac:dyDescent="0.35">
      <c r="A174" s="62">
        <v>175</v>
      </c>
      <c r="B174" s="63" t="s">
        <v>3754</v>
      </c>
      <c r="C174" s="62" t="s">
        <v>928</v>
      </c>
      <c r="D174" s="62" t="s">
        <v>453</v>
      </c>
      <c r="E174" s="62" t="s">
        <v>3755</v>
      </c>
      <c r="F174" s="62" t="s">
        <v>3756</v>
      </c>
      <c r="G174" s="64" t="s">
        <v>3757</v>
      </c>
    </row>
    <row r="175" spans="1:7" x14ac:dyDescent="0.35">
      <c r="A175" s="62">
        <v>176</v>
      </c>
      <c r="B175" s="63" t="s">
        <v>3196</v>
      </c>
      <c r="C175" s="62" t="s">
        <v>928</v>
      </c>
      <c r="D175" s="62" t="s">
        <v>480</v>
      </c>
      <c r="E175" s="62" t="s">
        <v>3758</v>
      </c>
      <c r="F175" s="62" t="s">
        <v>3758</v>
      </c>
      <c r="G175" s="64" t="s">
        <v>3299</v>
      </c>
    </row>
    <row r="176" spans="1:7" x14ac:dyDescent="0.35">
      <c r="A176" s="62">
        <v>177</v>
      </c>
      <c r="B176" s="63" t="s">
        <v>3759</v>
      </c>
      <c r="C176" s="62" t="s">
        <v>928</v>
      </c>
      <c r="D176" s="62" t="s">
        <v>453</v>
      </c>
      <c r="E176" s="62" t="s">
        <v>3760</v>
      </c>
      <c r="F176" s="62" t="s">
        <v>3761</v>
      </c>
      <c r="G176" s="64" t="s">
        <v>3762</v>
      </c>
    </row>
    <row r="177" spans="1:7" x14ac:dyDescent="0.35">
      <c r="A177" s="62">
        <v>178</v>
      </c>
      <c r="B177" s="63" t="s">
        <v>3763</v>
      </c>
      <c r="C177" s="62" t="s">
        <v>928</v>
      </c>
      <c r="D177" s="62" t="s">
        <v>453</v>
      </c>
      <c r="E177" s="62" t="s">
        <v>3764</v>
      </c>
      <c r="F177" s="62" t="s">
        <v>3765</v>
      </c>
      <c r="G177" s="64" t="s">
        <v>3766</v>
      </c>
    </row>
    <row r="178" spans="1:7" x14ac:dyDescent="0.35">
      <c r="A178" s="62">
        <v>179</v>
      </c>
      <c r="B178" s="63" t="s">
        <v>3767</v>
      </c>
      <c r="C178" s="62" t="s">
        <v>928</v>
      </c>
      <c r="D178" s="62" t="s">
        <v>453</v>
      </c>
      <c r="E178" s="62" t="s">
        <v>3768</v>
      </c>
      <c r="F178" s="62" t="s">
        <v>3769</v>
      </c>
      <c r="G178" s="64" t="s">
        <v>3770</v>
      </c>
    </row>
    <row r="179" spans="1:7" x14ac:dyDescent="0.35">
      <c r="A179" s="62">
        <v>180</v>
      </c>
      <c r="B179" s="63" t="s">
        <v>3771</v>
      </c>
      <c r="C179" s="62" t="s">
        <v>928</v>
      </c>
      <c r="D179" s="62" t="s">
        <v>453</v>
      </c>
      <c r="E179" s="62" t="s">
        <v>3772</v>
      </c>
      <c r="F179" s="62" t="s">
        <v>3773</v>
      </c>
      <c r="G179" s="64" t="s">
        <v>3774</v>
      </c>
    </row>
    <row r="180" spans="1:7" x14ac:dyDescent="0.35">
      <c r="A180" s="62">
        <v>181</v>
      </c>
      <c r="B180" s="63" t="s">
        <v>3775</v>
      </c>
      <c r="C180" s="62" t="s">
        <v>928</v>
      </c>
      <c r="D180" s="62" t="s">
        <v>453</v>
      </c>
      <c r="E180" s="62" t="s">
        <v>3776</v>
      </c>
      <c r="F180" s="62" t="s">
        <v>3777</v>
      </c>
      <c r="G180" s="64" t="s">
        <v>3778</v>
      </c>
    </row>
    <row r="181" spans="1:7" x14ac:dyDescent="0.35">
      <c r="A181" s="62">
        <v>204</v>
      </c>
      <c r="B181" s="63" t="s">
        <v>3779</v>
      </c>
      <c r="C181" s="62" t="s">
        <v>3113</v>
      </c>
      <c r="D181" s="62" t="s">
        <v>453</v>
      </c>
      <c r="E181" s="62" t="s">
        <v>3780</v>
      </c>
      <c r="F181" s="62" t="s">
        <v>3114</v>
      </c>
      <c r="G181" s="64" t="s">
        <v>3779</v>
      </c>
    </row>
    <row r="182" spans="1:7" x14ac:dyDescent="0.35">
      <c r="A182" s="62">
        <v>901</v>
      </c>
      <c r="B182" s="63" t="s">
        <v>3781</v>
      </c>
      <c r="C182" s="62" t="s">
        <v>928</v>
      </c>
      <c r="D182" s="62" t="s">
        <v>453</v>
      </c>
      <c r="E182" s="62" t="s">
        <v>3782</v>
      </c>
      <c r="F182" s="62" t="s">
        <v>3783</v>
      </c>
      <c r="G182" s="64" t="s">
        <v>3781</v>
      </c>
    </row>
    <row r="183" spans="1:7" x14ac:dyDescent="0.35">
      <c r="A183" s="62">
        <v>998</v>
      </c>
      <c r="B183" s="63" t="s">
        <v>3784</v>
      </c>
      <c r="C183" s="62" t="s">
        <v>1191</v>
      </c>
      <c r="D183" s="62" t="s">
        <v>480</v>
      </c>
      <c r="E183" s="62" t="s">
        <v>3785</v>
      </c>
      <c r="F183" s="62" t="s">
        <v>3113</v>
      </c>
      <c r="G183" s="64" t="s">
        <v>3786</v>
      </c>
    </row>
    <row r="184" spans="1:7" x14ac:dyDescent="0.35">
      <c r="A184" s="62">
        <v>999</v>
      </c>
      <c r="B184" s="63" t="s">
        <v>3787</v>
      </c>
      <c r="C184" s="62" t="s">
        <v>3113</v>
      </c>
      <c r="D184" s="62" t="s">
        <v>480</v>
      </c>
      <c r="E184" s="62" t="s">
        <v>3788</v>
      </c>
      <c r="F184" s="62" t="s">
        <v>928</v>
      </c>
      <c r="G184" s="64" t="s">
        <v>3789</v>
      </c>
    </row>
  </sheetData>
  <sheetProtection algorithmName="SHA-512" hashValue="HMAl+n+9NRQzqJ6ZVqID0TZ2W5+FqumWQ7DpFknNNXT0q9aGSG5OoYyWrqQgxQE2UzI1jN6N7GR5Wev3vurcrA==" saltValue="4Q+YLq6TnCOZ4rqqkzwBCQ==" spinCount="100000" sheet="1" objects="1" scenarios="1" formatCells="0" formatColumns="0" formatRows="0" insertHyperlinks="0" autoFilter="0"/>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8D69-496F-4684-9539-66C8082B4CFA}">
  <sheetPr codeName="Hoja9">
    <tabColor rgb="FF00B050"/>
  </sheetPr>
  <dimension ref="B2:E9"/>
  <sheetViews>
    <sheetView showGridLines="0" zoomScale="125" zoomScaleNormal="125" workbookViewId="0"/>
  </sheetViews>
  <sheetFormatPr baseColWidth="10" defaultColWidth="4.54296875" defaultRowHeight="14" x14ac:dyDescent="0.3"/>
  <cols>
    <col min="1" max="1" width="7.453125" style="12" customWidth="1"/>
    <col min="2" max="2" width="8.453125" style="12" bestFit="1" customWidth="1"/>
    <col min="3" max="3" width="38.453125" style="12" bestFit="1" customWidth="1"/>
    <col min="4" max="4" width="34.54296875" style="12" bestFit="1" customWidth="1"/>
    <col min="5" max="5" width="23.453125" style="12" bestFit="1" customWidth="1"/>
    <col min="6" max="16384" width="4.54296875" style="12"/>
  </cols>
  <sheetData>
    <row r="2" spans="2:5" ht="25.5" thickBot="1" x14ac:dyDescent="0.35">
      <c r="B2" s="390" t="s">
        <v>3790</v>
      </c>
      <c r="C2" s="390"/>
      <c r="D2" s="390"/>
      <c r="E2" s="390"/>
    </row>
    <row r="3" spans="2:5" ht="14.5" thickTop="1" x14ac:dyDescent="0.3"/>
    <row r="4" spans="2:5" x14ac:dyDescent="0.3">
      <c r="B4" s="65" t="s">
        <v>3791</v>
      </c>
      <c r="C4" s="65" t="s">
        <v>3792</v>
      </c>
      <c r="D4" s="65" t="s">
        <v>3793</v>
      </c>
      <c r="E4" s="65" t="s">
        <v>3794</v>
      </c>
    </row>
    <row r="5" spans="2:5" x14ac:dyDescent="0.3">
      <c r="B5" s="66">
        <v>1</v>
      </c>
      <c r="C5" s="67" t="s">
        <v>3795</v>
      </c>
      <c r="D5" s="68" t="s">
        <v>3796</v>
      </c>
      <c r="E5" s="68" t="s">
        <v>3797</v>
      </c>
    </row>
    <row r="6" spans="2:5" x14ac:dyDescent="0.3">
      <c r="B6" s="66">
        <v>2</v>
      </c>
      <c r="C6" s="67" t="s">
        <v>3798</v>
      </c>
      <c r="D6" s="68" t="s">
        <v>3799</v>
      </c>
      <c r="E6" s="68" t="s">
        <v>3800</v>
      </c>
    </row>
    <row r="7" spans="2:5" x14ac:dyDescent="0.3">
      <c r="B7" s="66">
        <v>3</v>
      </c>
      <c r="C7" s="67" t="s">
        <v>3801</v>
      </c>
      <c r="D7" s="68" t="s">
        <v>3802</v>
      </c>
      <c r="E7" s="68" t="s">
        <v>3803</v>
      </c>
    </row>
    <row r="8" spans="2:5" x14ac:dyDescent="0.3">
      <c r="B8" s="66">
        <v>4</v>
      </c>
      <c r="C8" s="67" t="s">
        <v>3804</v>
      </c>
      <c r="D8" s="68" t="s">
        <v>3805</v>
      </c>
      <c r="E8" s="68" t="s">
        <v>3803</v>
      </c>
    </row>
    <row r="9" spans="2:5" x14ac:dyDescent="0.3">
      <c r="B9" s="66">
        <v>5</v>
      </c>
      <c r="C9" s="67" t="s">
        <v>3806</v>
      </c>
      <c r="D9" s="68" t="s">
        <v>3807</v>
      </c>
      <c r="E9" s="68" t="s">
        <v>3808</v>
      </c>
    </row>
  </sheetData>
  <sheetProtection algorithmName="SHA-512" hashValue="n5Oe75eZDxnkRU+JI8Jwnr44wK7oikd3mOTAnHCkOcqMLqKEhyADC68bRVbWNPlo0s67H07bnqv1hC98En//JA==" saltValue="qKPZD1pXfAwSE5PtDSemSg==" spinCount="100000" sheet="1" objects="1" scenarios="1" formatCells="0" formatColumns="0" formatRows="0" insertHyperlinks="0" autoFilter="0"/>
  <mergeCells count="1">
    <mergeCell ref="B2:E2"/>
  </mergeCells>
  <pageMargins left="0.7" right="0.7" top="0.75" bottom="0.75" header="0.3" footer="0.3"/>
  <pageSetup orientation="portrait" horizontalDpi="90" verticalDpi="90" r:id="rId1"/>
  <headerFooter>
    <oddFooter>&amp;C&amp;1#&amp;"Calibri"&amp;10&amp;K000000Uso Interno</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556D2-2BDE-4620-A885-943B70D219BA}">
  <sheetPr codeName="Hoja2">
    <tabColor rgb="FF00B050"/>
  </sheetPr>
  <dimension ref="B2:H16"/>
  <sheetViews>
    <sheetView showGridLines="0" topLeftCell="A2" zoomScale="70" zoomScaleNormal="70" workbookViewId="0">
      <selection activeCell="C15" sqref="C15"/>
    </sheetView>
  </sheetViews>
  <sheetFormatPr baseColWidth="10" defaultColWidth="11.453125" defaultRowHeight="14" x14ac:dyDescent="0.3"/>
  <cols>
    <col min="1" max="1" width="11.453125" style="12"/>
    <col min="2" max="2" width="9.453125" style="12" bestFit="1" customWidth="1"/>
    <col min="3" max="3" width="68.54296875" style="13" customWidth="1"/>
    <col min="4" max="8" width="18.453125" style="12" customWidth="1"/>
    <col min="9" max="16384" width="11.453125" style="12"/>
  </cols>
  <sheetData>
    <row r="2" spans="2:8" ht="25.5" thickBot="1" x14ac:dyDescent="0.35">
      <c r="B2" s="391" t="s">
        <v>3809</v>
      </c>
      <c r="C2" s="391"/>
      <c r="D2" s="391"/>
      <c r="E2" s="391"/>
      <c r="F2" s="391"/>
      <c r="G2" s="391"/>
      <c r="H2" s="391"/>
    </row>
    <row r="3" spans="2:8" ht="15" thickTop="1" thickBot="1" x14ac:dyDescent="0.35">
      <c r="B3" s="69"/>
      <c r="C3" s="70"/>
      <c r="D3" s="69"/>
      <c r="E3" s="69"/>
      <c r="F3" s="69"/>
      <c r="G3" s="69"/>
      <c r="H3" s="69"/>
    </row>
    <row r="4" spans="2:8" ht="14.5" thickBot="1" x14ac:dyDescent="0.35">
      <c r="B4" s="69"/>
      <c r="C4" s="70"/>
      <c r="D4" s="392" t="s">
        <v>3810</v>
      </c>
      <c r="E4" s="393"/>
      <c r="F4" s="393"/>
      <c r="G4" s="393"/>
      <c r="H4" s="394"/>
    </row>
    <row r="5" spans="2:8" x14ac:dyDescent="0.3">
      <c r="B5" s="69"/>
      <c r="C5" s="70"/>
      <c r="D5" s="71">
        <v>1</v>
      </c>
      <c r="E5" s="72">
        <v>2</v>
      </c>
      <c r="F5" s="72">
        <v>3</v>
      </c>
      <c r="G5" s="72">
        <v>4</v>
      </c>
      <c r="H5" s="72">
        <v>5</v>
      </c>
    </row>
    <row r="6" spans="2:8" ht="28" x14ac:dyDescent="0.3">
      <c r="B6" s="395" t="s">
        <v>3791</v>
      </c>
      <c r="C6" s="65" t="s">
        <v>3811</v>
      </c>
      <c r="D6" s="395" t="s">
        <v>3812</v>
      </c>
      <c r="E6" s="65" t="s">
        <v>3813</v>
      </c>
      <c r="F6" s="65" t="s">
        <v>3814</v>
      </c>
      <c r="G6" s="65" t="s">
        <v>3815</v>
      </c>
      <c r="H6" s="65" t="s">
        <v>3816</v>
      </c>
    </row>
    <row r="7" spans="2:8" x14ac:dyDescent="0.3">
      <c r="B7" s="395"/>
      <c r="C7" s="65" t="s">
        <v>3817</v>
      </c>
      <c r="D7" s="395"/>
      <c r="E7" s="65" t="s">
        <v>3818</v>
      </c>
      <c r="F7" s="65" t="s">
        <v>3819</v>
      </c>
      <c r="G7" s="65" t="s">
        <v>3820</v>
      </c>
      <c r="H7" s="65" t="s">
        <v>3821</v>
      </c>
    </row>
    <row r="8" spans="2:8" ht="42" x14ac:dyDescent="0.3">
      <c r="B8" s="66">
        <v>1</v>
      </c>
      <c r="C8" s="67" t="s">
        <v>3822</v>
      </c>
      <c r="D8" s="66" t="s">
        <v>3823</v>
      </c>
      <c r="E8" s="66" t="s">
        <v>3824</v>
      </c>
      <c r="F8" s="66" t="s">
        <v>3824</v>
      </c>
      <c r="G8" s="66" t="s">
        <v>3824</v>
      </c>
      <c r="H8" s="66" t="s">
        <v>3824</v>
      </c>
    </row>
    <row r="9" spans="2:8" ht="42" x14ac:dyDescent="0.3">
      <c r="B9" s="66">
        <v>2</v>
      </c>
      <c r="C9" s="67" t="s">
        <v>3825</v>
      </c>
      <c r="D9" s="66" t="s">
        <v>3824</v>
      </c>
      <c r="E9" s="66" t="s">
        <v>3826</v>
      </c>
      <c r="F9" s="66" t="s">
        <v>3827</v>
      </c>
      <c r="G9" s="66" t="s">
        <v>3828</v>
      </c>
      <c r="H9" s="66" t="s">
        <v>3829</v>
      </c>
    </row>
    <row r="10" spans="2:8" ht="42" x14ac:dyDescent="0.3">
      <c r="B10" s="66">
        <v>3</v>
      </c>
      <c r="C10" s="67" t="s">
        <v>3830</v>
      </c>
      <c r="D10" s="66" t="s">
        <v>3824</v>
      </c>
      <c r="E10" s="66" t="s">
        <v>3826</v>
      </c>
      <c r="F10" s="66" t="s">
        <v>3827</v>
      </c>
      <c r="G10" s="66" t="s">
        <v>3828</v>
      </c>
      <c r="H10" s="66" t="s">
        <v>3829</v>
      </c>
    </row>
    <row r="11" spans="2:8" ht="56" x14ac:dyDescent="0.3">
      <c r="B11" s="66">
        <v>4</v>
      </c>
      <c r="C11" s="67" t="s">
        <v>3831</v>
      </c>
      <c r="D11" s="66" t="s">
        <v>3832</v>
      </c>
      <c r="E11" s="66" t="s">
        <v>3824</v>
      </c>
      <c r="F11" s="66" t="s">
        <v>3824</v>
      </c>
      <c r="G11" s="66" t="s">
        <v>3824</v>
      </c>
      <c r="H11" s="66" t="s">
        <v>3824</v>
      </c>
    </row>
    <row r="12" spans="2:8" ht="56" x14ac:dyDescent="0.3">
      <c r="B12" s="66">
        <v>5</v>
      </c>
      <c r="C12" s="67" t="s">
        <v>3833</v>
      </c>
      <c r="D12" s="66" t="s">
        <v>3824</v>
      </c>
      <c r="E12" s="66" t="s">
        <v>3832</v>
      </c>
      <c r="F12" s="66" t="s">
        <v>3834</v>
      </c>
      <c r="G12" s="66" t="s">
        <v>3835</v>
      </c>
      <c r="H12" s="66" t="s">
        <v>3829</v>
      </c>
    </row>
    <row r="13" spans="2:8" ht="56" x14ac:dyDescent="0.3">
      <c r="B13" s="66">
        <v>6</v>
      </c>
      <c r="C13" s="67" t="s">
        <v>3836</v>
      </c>
      <c r="D13" s="66" t="s">
        <v>3824</v>
      </c>
      <c r="E13" s="66" t="s">
        <v>3832</v>
      </c>
      <c r="F13" s="66" t="s">
        <v>3834</v>
      </c>
      <c r="G13" s="66" t="s">
        <v>3835</v>
      </c>
      <c r="H13" s="66" t="s">
        <v>3829</v>
      </c>
    </row>
    <row r="14" spans="2:8" ht="56" x14ac:dyDescent="0.3">
      <c r="B14" s="66">
        <v>7</v>
      </c>
      <c r="C14" s="67" t="s">
        <v>3837</v>
      </c>
      <c r="D14" s="66" t="s">
        <v>3824</v>
      </c>
      <c r="E14" s="66" t="s">
        <v>3832</v>
      </c>
      <c r="F14" s="66" t="s">
        <v>3834</v>
      </c>
      <c r="G14" s="66" t="s">
        <v>3835</v>
      </c>
      <c r="H14" s="66" t="s">
        <v>3829</v>
      </c>
    </row>
    <row r="15" spans="2:8" ht="42" x14ac:dyDescent="0.3">
      <c r="B15" s="66">
        <v>8</v>
      </c>
      <c r="C15" s="67" t="s">
        <v>3838</v>
      </c>
      <c r="D15" s="66" t="s">
        <v>3807</v>
      </c>
      <c r="E15" s="73"/>
      <c r="F15" s="73"/>
      <c r="G15" s="73"/>
      <c r="H15" s="69"/>
    </row>
    <row r="16" spans="2:8" ht="42" x14ac:dyDescent="0.3">
      <c r="B16" s="66">
        <v>9</v>
      </c>
      <c r="C16" s="67" t="s">
        <v>3839</v>
      </c>
      <c r="D16" s="66" t="s">
        <v>3805</v>
      </c>
      <c r="E16" s="73"/>
      <c r="F16" s="73"/>
      <c r="G16" s="73"/>
      <c r="H16" s="69"/>
    </row>
  </sheetData>
  <sheetProtection formatCells="0" formatColumns="0" formatRows="0" insertHyperlinks="0" autoFilter="0"/>
  <mergeCells count="4">
    <mergeCell ref="B2:H2"/>
    <mergeCell ref="D4:H4"/>
    <mergeCell ref="B6:B7"/>
    <mergeCell ref="D6:D7"/>
  </mergeCells>
  <pageMargins left="0.7" right="0.7" top="0.75" bottom="0.75" header="0.3" footer="0.3"/>
  <pageSetup orientation="portrait" horizontalDpi="90" verticalDpi="90" r:id="rId1"/>
  <headerFooter>
    <oddFooter>&amp;C&amp;1#&amp;"Calibri"&amp;10&amp;K000000Uso Interno</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B0941-56D2-4863-ACFF-A18D7681B876}">
  <sheetPr codeName="Hoja73">
    <tabColor rgb="FF00B050"/>
  </sheetPr>
  <dimension ref="A3:E46"/>
  <sheetViews>
    <sheetView showGridLines="0" topLeftCell="A25" zoomScale="125" zoomScaleNormal="125" workbookViewId="0">
      <selection activeCell="A4" sqref="A4"/>
    </sheetView>
  </sheetViews>
  <sheetFormatPr baseColWidth="10" defaultColWidth="11.453125" defaultRowHeight="14.5" x14ac:dyDescent="0.35"/>
  <cols>
    <col min="1" max="1" width="14" style="9" customWidth="1"/>
    <col min="2" max="2" width="36" style="9" bestFit="1" customWidth="1"/>
    <col min="3" max="3" width="26.54296875" style="9" bestFit="1" customWidth="1"/>
    <col min="4" max="4" width="18.54296875" style="9" bestFit="1" customWidth="1"/>
    <col min="5" max="5" width="19.453125" style="9" bestFit="1" customWidth="1"/>
    <col min="6" max="16384" width="11.453125" style="9"/>
  </cols>
  <sheetData>
    <row r="3" spans="1:5" x14ac:dyDescent="0.35">
      <c r="A3" s="23" t="s">
        <v>413</v>
      </c>
      <c r="B3" s="22"/>
      <c r="C3" s="22"/>
      <c r="D3" s="22"/>
      <c r="E3" s="22"/>
    </row>
    <row r="4" spans="1:5" x14ac:dyDescent="0.35">
      <c r="A4" s="23" t="s">
        <v>3840</v>
      </c>
      <c r="B4" s="398" t="s">
        <v>3841</v>
      </c>
      <c r="C4" s="398"/>
      <c r="D4" s="398"/>
      <c r="E4" s="398"/>
    </row>
    <row r="5" spans="1:5" ht="15" thickBot="1" x14ac:dyDescent="0.4">
      <c r="A5" s="22"/>
      <c r="B5" s="399"/>
      <c r="C5" s="399"/>
      <c r="D5" s="399"/>
      <c r="E5" s="399"/>
    </row>
    <row r="6" spans="1:5" x14ac:dyDescent="0.35">
      <c r="A6" s="22"/>
      <c r="B6" s="74"/>
      <c r="C6" s="74"/>
      <c r="D6" s="74"/>
      <c r="E6" s="74"/>
    </row>
    <row r="7" spans="1:5" ht="16.5" x14ac:dyDescent="0.35">
      <c r="A7" s="22"/>
      <c r="B7" s="75" t="s">
        <v>3842</v>
      </c>
      <c r="C7" s="76"/>
      <c r="D7" s="76"/>
      <c r="E7" s="76"/>
    </row>
    <row r="8" spans="1:5" ht="15" thickBot="1" x14ac:dyDescent="0.4">
      <c r="A8" s="22"/>
      <c r="B8" s="22"/>
      <c r="C8" s="22"/>
      <c r="D8" s="22"/>
      <c r="E8" s="22"/>
    </row>
    <row r="9" spans="1:5" x14ac:dyDescent="0.35">
      <c r="A9" s="22"/>
      <c r="B9" s="77" t="s">
        <v>3843</v>
      </c>
      <c r="C9" s="400" t="s">
        <v>3844</v>
      </c>
      <c r="D9" s="400" t="s">
        <v>3845</v>
      </c>
      <c r="E9" s="402" t="s">
        <v>3846</v>
      </c>
    </row>
    <row r="10" spans="1:5" ht="22.5" customHeight="1" x14ac:dyDescent="0.35">
      <c r="A10" s="22"/>
      <c r="B10" s="78" t="s">
        <v>3847</v>
      </c>
      <c r="C10" s="401"/>
      <c r="D10" s="401"/>
      <c r="E10" s="403"/>
    </row>
    <row r="11" spans="1:5" ht="24.75" customHeight="1" x14ac:dyDescent="0.35">
      <c r="A11" s="22"/>
      <c r="B11" s="78" t="s">
        <v>3848</v>
      </c>
      <c r="C11" s="79">
        <v>0</v>
      </c>
      <c r="D11" s="79">
        <v>1</v>
      </c>
      <c r="E11" s="80">
        <v>2</v>
      </c>
    </row>
    <row r="12" spans="1:5" x14ac:dyDescent="0.35">
      <c r="A12" s="22"/>
      <c r="B12" s="81" t="s">
        <v>3849</v>
      </c>
      <c r="C12" s="396" t="s">
        <v>3850</v>
      </c>
      <c r="D12" s="396"/>
      <c r="E12" s="397"/>
    </row>
    <row r="13" spans="1:5" x14ac:dyDescent="0.35">
      <c r="A13" s="22"/>
      <c r="B13" s="82">
        <v>0</v>
      </c>
      <c r="C13" s="83" t="s">
        <v>3851</v>
      </c>
      <c r="D13" s="83" t="s">
        <v>3852</v>
      </c>
      <c r="E13" s="84" t="s">
        <v>3851</v>
      </c>
    </row>
    <row r="14" spans="1:5" x14ac:dyDescent="0.35">
      <c r="A14" s="22"/>
      <c r="B14" s="82">
        <v>1</v>
      </c>
      <c r="C14" s="83" t="s">
        <v>3853</v>
      </c>
      <c r="D14" s="83" t="s">
        <v>3854</v>
      </c>
      <c r="E14" s="84" t="s">
        <v>3853</v>
      </c>
    </row>
    <row r="15" spans="1:5" x14ac:dyDescent="0.35">
      <c r="A15" s="22"/>
      <c r="B15" s="82">
        <v>1</v>
      </c>
      <c r="C15" s="83" t="s">
        <v>3855</v>
      </c>
      <c r="D15" s="83" t="s">
        <v>3856</v>
      </c>
      <c r="E15" s="84" t="s">
        <v>3855</v>
      </c>
    </row>
    <row r="16" spans="1:5" x14ac:dyDescent="0.35">
      <c r="A16" s="22"/>
      <c r="B16" s="82">
        <v>1</v>
      </c>
      <c r="C16" s="83" t="s">
        <v>3857</v>
      </c>
      <c r="D16" s="83" t="s">
        <v>3858</v>
      </c>
      <c r="E16" s="84" t="s">
        <v>3857</v>
      </c>
    </row>
    <row r="17" spans="1:5" x14ac:dyDescent="0.35">
      <c r="A17" s="22"/>
      <c r="B17" s="82">
        <v>2</v>
      </c>
      <c r="C17" s="83" t="s">
        <v>3859</v>
      </c>
      <c r="D17" s="83" t="s">
        <v>3860</v>
      </c>
      <c r="E17" s="84" t="s">
        <v>3859</v>
      </c>
    </row>
    <row r="18" spans="1:5" x14ac:dyDescent="0.35">
      <c r="A18" s="22"/>
      <c r="B18" s="82">
        <v>2</v>
      </c>
      <c r="C18" s="83" t="s">
        <v>653</v>
      </c>
      <c r="D18" s="83" t="s">
        <v>3861</v>
      </c>
      <c r="E18" s="84" t="s">
        <v>653</v>
      </c>
    </row>
    <row r="19" spans="1:5" x14ac:dyDescent="0.35">
      <c r="A19" s="22"/>
      <c r="B19" s="82">
        <v>2</v>
      </c>
      <c r="C19" s="83" t="s">
        <v>3862</v>
      </c>
      <c r="D19" s="83" t="s">
        <v>3863</v>
      </c>
      <c r="E19" s="84" t="s">
        <v>3862</v>
      </c>
    </row>
    <row r="20" spans="1:5" x14ac:dyDescent="0.35">
      <c r="A20" s="22"/>
      <c r="B20" s="82">
        <v>3</v>
      </c>
      <c r="C20" s="85" t="s">
        <v>3864</v>
      </c>
      <c r="D20" s="83" t="s">
        <v>3865</v>
      </c>
      <c r="E20" s="84" t="s">
        <v>3864</v>
      </c>
    </row>
    <row r="21" spans="1:5" x14ac:dyDescent="0.35">
      <c r="A21" s="22"/>
      <c r="B21" s="82">
        <v>3</v>
      </c>
      <c r="C21" s="85" t="s">
        <v>3866</v>
      </c>
      <c r="D21" s="83" t="s">
        <v>3867</v>
      </c>
      <c r="E21" s="84" t="s">
        <v>3866</v>
      </c>
    </row>
    <row r="22" spans="1:5" x14ac:dyDescent="0.35">
      <c r="A22" s="22"/>
      <c r="B22" s="82">
        <v>3</v>
      </c>
      <c r="C22" s="85" t="s">
        <v>3868</v>
      </c>
      <c r="D22" s="83" t="s">
        <v>3869</v>
      </c>
      <c r="E22" s="84" t="s">
        <v>3868</v>
      </c>
    </row>
    <row r="23" spans="1:5" x14ac:dyDescent="0.35">
      <c r="A23" s="22"/>
      <c r="B23" s="82">
        <v>4</v>
      </c>
      <c r="C23" s="85" t="s">
        <v>3870</v>
      </c>
      <c r="D23" s="83" t="s">
        <v>3871</v>
      </c>
      <c r="E23" s="84" t="s">
        <v>3870</v>
      </c>
    </row>
    <row r="24" spans="1:5" x14ac:dyDescent="0.35">
      <c r="A24" s="22"/>
      <c r="B24" s="82">
        <v>4</v>
      </c>
      <c r="C24" s="85" t="s">
        <v>3872</v>
      </c>
      <c r="D24" s="83" t="s">
        <v>3873</v>
      </c>
      <c r="E24" s="84" t="s">
        <v>3872</v>
      </c>
    </row>
    <row r="25" spans="1:5" x14ac:dyDescent="0.35">
      <c r="A25" s="22"/>
      <c r="B25" s="82">
        <v>4</v>
      </c>
      <c r="C25" s="85" t="s">
        <v>3874</v>
      </c>
      <c r="D25" s="83" t="s">
        <v>3875</v>
      </c>
      <c r="E25" s="84" t="s">
        <v>3874</v>
      </c>
    </row>
    <row r="26" spans="1:5" x14ac:dyDescent="0.35">
      <c r="A26" s="22"/>
      <c r="B26" s="82">
        <v>5</v>
      </c>
      <c r="C26" s="85" t="s">
        <v>3876</v>
      </c>
      <c r="D26" s="83" t="s">
        <v>3877</v>
      </c>
      <c r="E26" s="84" t="s">
        <v>3876</v>
      </c>
    </row>
    <row r="27" spans="1:5" x14ac:dyDescent="0.35">
      <c r="A27" s="22"/>
      <c r="B27" s="82">
        <v>5</v>
      </c>
      <c r="C27" s="85" t="s">
        <v>796</v>
      </c>
      <c r="D27" s="83" t="s">
        <v>3878</v>
      </c>
      <c r="E27" s="84" t="s">
        <v>796</v>
      </c>
    </row>
    <row r="28" spans="1:5" x14ac:dyDescent="0.35">
      <c r="A28" s="22"/>
      <c r="B28" s="82">
        <v>5</v>
      </c>
      <c r="C28" s="85" t="s">
        <v>3879</v>
      </c>
      <c r="D28" s="83" t="s">
        <v>3880</v>
      </c>
      <c r="E28" s="84" t="s">
        <v>3879</v>
      </c>
    </row>
    <row r="29" spans="1:5" x14ac:dyDescent="0.35">
      <c r="A29" s="22"/>
      <c r="B29" s="82">
        <v>6</v>
      </c>
      <c r="C29" s="404" t="s">
        <v>3881</v>
      </c>
      <c r="D29" s="83" t="s">
        <v>3882</v>
      </c>
      <c r="E29" s="405" t="s">
        <v>3881</v>
      </c>
    </row>
    <row r="30" spans="1:5" x14ac:dyDescent="0.35">
      <c r="A30" s="22"/>
      <c r="B30" s="82">
        <v>6</v>
      </c>
      <c r="C30" s="404"/>
      <c r="D30" s="83" t="s">
        <v>3883</v>
      </c>
      <c r="E30" s="405"/>
    </row>
    <row r="31" spans="1:5" x14ac:dyDescent="0.35">
      <c r="A31" s="22"/>
      <c r="B31" s="82">
        <v>6</v>
      </c>
      <c r="C31" s="85" t="s">
        <v>824</v>
      </c>
      <c r="D31" s="83" t="s">
        <v>824</v>
      </c>
      <c r="E31" s="84" t="s">
        <v>824</v>
      </c>
    </row>
    <row r="32" spans="1:5" ht="15" thickBot="1" x14ac:dyDescent="0.4">
      <c r="A32" s="22"/>
      <c r="B32" s="86">
        <v>6</v>
      </c>
      <c r="C32" s="87" t="s">
        <v>834</v>
      </c>
      <c r="D32" s="88"/>
      <c r="E32" s="89" t="s">
        <v>3884</v>
      </c>
    </row>
    <row r="33" spans="1:5" x14ac:dyDescent="0.35">
      <c r="A33" s="22"/>
      <c r="B33" s="22"/>
      <c r="C33" s="22"/>
      <c r="D33" s="22"/>
      <c r="E33" s="22"/>
    </row>
    <row r="34" spans="1:5" ht="16.5" x14ac:dyDescent="0.35">
      <c r="A34" s="22"/>
      <c r="B34" s="75" t="s">
        <v>3885</v>
      </c>
      <c r="C34" s="76"/>
      <c r="D34" s="76"/>
      <c r="E34" s="76"/>
    </row>
    <row r="35" spans="1:5" ht="15" thickBot="1" x14ac:dyDescent="0.4">
      <c r="A35" s="22"/>
      <c r="B35" s="22"/>
      <c r="C35" s="22"/>
      <c r="D35" s="22"/>
      <c r="E35" s="22"/>
    </row>
    <row r="36" spans="1:5" ht="26" x14ac:dyDescent="0.35">
      <c r="A36" s="22"/>
      <c r="B36" s="77"/>
      <c r="C36" s="90" t="s">
        <v>3844</v>
      </c>
      <c r="D36" s="90" t="s">
        <v>3845</v>
      </c>
      <c r="E36" s="91" t="s">
        <v>3846</v>
      </c>
    </row>
    <row r="37" spans="1:5" ht="27.75" customHeight="1" x14ac:dyDescent="0.35">
      <c r="A37" s="22"/>
      <c r="B37" s="78" t="s">
        <v>3848</v>
      </c>
      <c r="C37" s="79">
        <v>50</v>
      </c>
      <c r="D37" s="79">
        <v>51</v>
      </c>
      <c r="E37" s="92">
        <v>52</v>
      </c>
    </row>
    <row r="38" spans="1:5" x14ac:dyDescent="0.35">
      <c r="A38" s="22"/>
      <c r="B38" s="81" t="s">
        <v>3849</v>
      </c>
      <c r="C38" s="396" t="s">
        <v>3850</v>
      </c>
      <c r="D38" s="396"/>
      <c r="E38" s="397"/>
    </row>
    <row r="39" spans="1:5" x14ac:dyDescent="0.35">
      <c r="A39" s="22"/>
      <c r="B39" s="82">
        <v>1</v>
      </c>
      <c r="C39" s="83" t="s">
        <v>3886</v>
      </c>
      <c r="D39" s="93"/>
      <c r="E39" s="84" t="s">
        <v>3887</v>
      </c>
    </row>
    <row r="40" spans="1:5" x14ac:dyDescent="0.35">
      <c r="A40" s="22"/>
      <c r="B40" s="82">
        <v>2</v>
      </c>
      <c r="C40" s="83" t="s">
        <v>3860</v>
      </c>
      <c r="D40" s="83" t="s">
        <v>3888</v>
      </c>
      <c r="E40" s="84" t="s">
        <v>3889</v>
      </c>
    </row>
    <row r="41" spans="1:5" x14ac:dyDescent="0.35">
      <c r="A41" s="22"/>
      <c r="B41" s="94">
        <v>3</v>
      </c>
      <c r="C41" s="83" t="s">
        <v>3861</v>
      </c>
      <c r="D41" s="83" t="s">
        <v>3890</v>
      </c>
      <c r="E41" s="84" t="s">
        <v>3891</v>
      </c>
    </row>
    <row r="42" spans="1:5" x14ac:dyDescent="0.35">
      <c r="A42" s="22"/>
      <c r="B42" s="94">
        <v>4</v>
      </c>
      <c r="C42" s="83" t="s">
        <v>3863</v>
      </c>
      <c r="D42" s="83" t="s">
        <v>3892</v>
      </c>
      <c r="E42" s="84" t="s">
        <v>3893</v>
      </c>
    </row>
    <row r="43" spans="1:5" x14ac:dyDescent="0.35">
      <c r="A43" s="22"/>
      <c r="B43" s="82">
        <v>5</v>
      </c>
      <c r="C43" s="83" t="s">
        <v>3894</v>
      </c>
      <c r="D43" s="93"/>
      <c r="E43" s="84" t="s">
        <v>796</v>
      </c>
    </row>
    <row r="44" spans="1:5" x14ac:dyDescent="0.35">
      <c r="A44" s="22"/>
      <c r="B44" s="94">
        <v>6</v>
      </c>
      <c r="C44" s="83" t="s">
        <v>824</v>
      </c>
      <c r="D44" s="85"/>
      <c r="E44" s="84" t="s">
        <v>824</v>
      </c>
    </row>
    <row r="45" spans="1:5" ht="15" thickBot="1" x14ac:dyDescent="0.4">
      <c r="A45" s="22"/>
      <c r="B45" s="95">
        <v>6</v>
      </c>
      <c r="C45" s="88" t="s">
        <v>834</v>
      </c>
      <c r="D45" s="87"/>
      <c r="E45" s="89" t="s">
        <v>834</v>
      </c>
    </row>
    <row r="46" spans="1:5" x14ac:dyDescent="0.35">
      <c r="B46" s="18"/>
    </row>
  </sheetData>
  <sheetProtection algorithmName="SHA-512" hashValue="fAajPEm9mzX64AIcx1XPPrxHwkYkAa/IwtK/lkq/mFkM8QCowNAp48tgHxa9kABGlF396Pms95aX53XbhaZgzg==" saltValue="KZNTiQQli3zBX/cwn/Jfhg==" spinCount="100000" sheet="1" objects="1" scenarios="1" formatCells="0" formatColumns="0" formatRows="0" insertHyperlinks="0" autoFilter="0"/>
  <mergeCells count="8">
    <mergeCell ref="C38:E38"/>
    <mergeCell ref="B4:E5"/>
    <mergeCell ref="C9:C10"/>
    <mergeCell ref="D9:D10"/>
    <mergeCell ref="E9:E10"/>
    <mergeCell ref="C12:E12"/>
    <mergeCell ref="C29:C30"/>
    <mergeCell ref="E29:E30"/>
  </mergeCells>
  <hyperlinks>
    <hyperlink ref="A4" location="TABLAS!A1" tooltip="IR A TABLAS" display="IR A TABLAS" xr:uid="{2566E3B6-8248-4EC5-99AF-86E61419E517}"/>
    <hyperlink ref="A3" location="INDICE!D6" tooltip="INDICE" display="INDICE" xr:uid="{4BE41504-A8D1-4B42-9613-1A40A1C5F1DC}"/>
  </hyperlinks>
  <pageMargins left="0.7" right="0.7" top="0.75" bottom="0.75" header="0.3" footer="0.3"/>
  <pageSetup orientation="portrait" r:id="rId1"/>
  <headerFooter>
    <oddFooter>&amp;C&amp;1#&amp;"Calibri"&amp;10&amp;K000000Uso Interno</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2451C-DC28-4F76-97AB-7C739D6DDFCE}">
  <sheetPr codeName="Hoja01">
    <tabColor rgb="FF002060"/>
  </sheetPr>
  <dimension ref="A1:B66"/>
  <sheetViews>
    <sheetView showGridLines="0" topLeftCell="B25" zoomScaleNormal="100" workbookViewId="0">
      <selection activeCell="B33" sqref="B33"/>
    </sheetView>
  </sheetViews>
  <sheetFormatPr baseColWidth="10" defaultColWidth="11.453125" defaultRowHeight="14" x14ac:dyDescent="0.35"/>
  <cols>
    <col min="1" max="1" width="21.54296875" style="17" hidden="1" customWidth="1"/>
    <col min="2" max="2" width="125.54296875" style="16" customWidth="1"/>
    <col min="3" max="3" width="21.54296875" style="17" customWidth="1"/>
    <col min="4" max="4" width="10.54296875" style="17" customWidth="1"/>
    <col min="5" max="5" width="20.54296875" style="17" customWidth="1"/>
    <col min="6" max="6" width="100.54296875" style="17" customWidth="1"/>
    <col min="7" max="7" width="20.54296875" style="17" customWidth="1"/>
    <col min="8" max="16384" width="11.453125" style="17"/>
  </cols>
  <sheetData>
    <row r="1" spans="1:2" x14ac:dyDescent="0.35">
      <c r="A1" s="96" t="s">
        <v>413</v>
      </c>
      <c r="B1" s="97"/>
    </row>
    <row r="2" spans="1:2" x14ac:dyDescent="0.35">
      <c r="A2" s="96" t="s">
        <v>419</v>
      </c>
      <c r="B2" s="97"/>
    </row>
    <row r="3" spans="1:2" x14ac:dyDescent="0.35">
      <c r="A3" s="98"/>
      <c r="B3" s="99" t="s">
        <v>3900</v>
      </c>
    </row>
    <row r="4" spans="1:2" x14ac:dyDescent="0.35">
      <c r="A4" s="98"/>
      <c r="B4" s="97"/>
    </row>
    <row r="5" spans="1:2" x14ac:dyDescent="0.35">
      <c r="A5" s="98"/>
      <c r="B5" s="99" t="s">
        <v>3901</v>
      </c>
    </row>
    <row r="6" spans="1:2" x14ac:dyDescent="0.35">
      <c r="A6" s="98"/>
      <c r="B6" s="100"/>
    </row>
    <row r="7" spans="1:2" x14ac:dyDescent="0.35">
      <c r="A7" s="98"/>
      <c r="B7" s="99" t="s">
        <v>3902</v>
      </c>
    </row>
    <row r="8" spans="1:2" x14ac:dyDescent="0.35">
      <c r="A8" s="98"/>
      <c r="B8" s="100"/>
    </row>
    <row r="9" spans="1:2" x14ac:dyDescent="0.35">
      <c r="A9" s="98"/>
      <c r="B9" s="99" t="s">
        <v>3903</v>
      </c>
    </row>
    <row r="10" spans="1:2" x14ac:dyDescent="0.35">
      <c r="A10" s="98"/>
      <c r="B10" s="100"/>
    </row>
    <row r="11" spans="1:2" ht="42" x14ac:dyDescent="0.35">
      <c r="A11" s="98"/>
      <c r="B11" s="101" t="s">
        <v>3904</v>
      </c>
    </row>
    <row r="12" spans="1:2" x14ac:dyDescent="0.35">
      <c r="A12" s="98"/>
      <c r="B12" s="101"/>
    </row>
    <row r="13" spans="1:2" x14ac:dyDescent="0.35">
      <c r="A13" s="98"/>
      <c r="B13" s="101" t="s">
        <v>3905</v>
      </c>
    </row>
    <row r="14" spans="1:2" x14ac:dyDescent="0.35">
      <c r="A14" s="98"/>
      <c r="B14" s="101"/>
    </row>
    <row r="15" spans="1:2" ht="28" x14ac:dyDescent="0.35">
      <c r="A15" s="98"/>
      <c r="B15" s="101" t="s">
        <v>3906</v>
      </c>
    </row>
    <row r="16" spans="1:2" x14ac:dyDescent="0.35">
      <c r="A16" s="98"/>
      <c r="B16" s="101"/>
    </row>
    <row r="17" spans="1:2" ht="28" x14ac:dyDescent="0.35">
      <c r="A17" s="98"/>
      <c r="B17" s="101" t="s">
        <v>3907</v>
      </c>
    </row>
    <row r="18" spans="1:2" x14ac:dyDescent="0.35">
      <c r="A18" s="98"/>
      <c r="B18" s="101"/>
    </row>
    <row r="19" spans="1:2" ht="56" x14ac:dyDescent="0.35">
      <c r="A19" s="98"/>
      <c r="B19" s="101" t="s">
        <v>4422</v>
      </c>
    </row>
    <row r="20" spans="1:2" x14ac:dyDescent="0.35">
      <c r="A20" s="98"/>
      <c r="B20" s="101"/>
    </row>
    <row r="21" spans="1:2" x14ac:dyDescent="0.35">
      <c r="A21" s="98"/>
      <c r="B21" s="99" t="s">
        <v>3908</v>
      </c>
    </row>
    <row r="22" spans="1:2" x14ac:dyDescent="0.35">
      <c r="A22" s="98"/>
      <c r="B22" s="102"/>
    </row>
    <row r="23" spans="1:2" ht="28" x14ac:dyDescent="0.35">
      <c r="A23" s="98"/>
      <c r="B23" s="101" t="s">
        <v>3909</v>
      </c>
    </row>
    <row r="24" spans="1:2" x14ac:dyDescent="0.35">
      <c r="A24" s="98"/>
      <c r="B24" s="101"/>
    </row>
    <row r="25" spans="1:2" ht="28" x14ac:dyDescent="0.35">
      <c r="A25" s="98"/>
      <c r="B25" s="101" t="s">
        <v>3910</v>
      </c>
    </row>
    <row r="26" spans="1:2" x14ac:dyDescent="0.35">
      <c r="A26" s="98"/>
      <c r="B26" s="97"/>
    </row>
    <row r="27" spans="1:2" x14ac:dyDescent="0.35">
      <c r="A27" s="98"/>
      <c r="B27" s="99" t="s">
        <v>3911</v>
      </c>
    </row>
    <row r="28" spans="1:2" x14ac:dyDescent="0.35">
      <c r="A28" s="98"/>
      <c r="B28" s="100"/>
    </row>
    <row r="29" spans="1:2" x14ac:dyDescent="0.35">
      <c r="A29" s="98"/>
      <c r="B29" s="97" t="s">
        <v>3912</v>
      </c>
    </row>
    <row r="30" spans="1:2" x14ac:dyDescent="0.35">
      <c r="A30" s="98"/>
      <c r="B30" s="97" t="s">
        <v>3913</v>
      </c>
    </row>
    <row r="31" spans="1:2" x14ac:dyDescent="0.35">
      <c r="A31" s="98"/>
      <c r="B31" s="97" t="s">
        <v>3914</v>
      </c>
    </row>
    <row r="32" spans="1:2" x14ac:dyDescent="0.35">
      <c r="A32" s="98"/>
      <c r="B32" s="97"/>
    </row>
    <row r="33" spans="1:2" ht="30" x14ac:dyDescent="0.35">
      <c r="A33" s="98"/>
      <c r="B33" s="101" t="s">
        <v>3915</v>
      </c>
    </row>
    <row r="34" spans="1:2" x14ac:dyDescent="0.35">
      <c r="A34" s="98"/>
      <c r="B34" s="101"/>
    </row>
    <row r="35" spans="1:2" ht="28" x14ac:dyDescent="0.35">
      <c r="A35" s="98"/>
      <c r="B35" s="101" t="s">
        <v>3916</v>
      </c>
    </row>
    <row r="36" spans="1:2" x14ac:dyDescent="0.35">
      <c r="A36" s="98"/>
      <c r="B36" s="97"/>
    </row>
    <row r="37" spans="1:2" x14ac:dyDescent="0.35">
      <c r="A37" s="98"/>
      <c r="B37" s="97" t="s">
        <v>3917</v>
      </c>
    </row>
    <row r="38" spans="1:2" x14ac:dyDescent="0.35">
      <c r="A38" s="98"/>
      <c r="B38" s="97"/>
    </row>
    <row r="39" spans="1:2" ht="30" x14ac:dyDescent="0.35">
      <c r="A39" s="98"/>
      <c r="B39" s="103" t="s">
        <v>3918</v>
      </c>
    </row>
    <row r="40" spans="1:2" x14ac:dyDescent="0.35">
      <c r="A40" s="98"/>
      <c r="B40" s="101"/>
    </row>
    <row r="41" spans="1:2" x14ac:dyDescent="0.35">
      <c r="A41" s="98"/>
      <c r="B41" s="99" t="s">
        <v>3919</v>
      </c>
    </row>
    <row r="42" spans="1:2" x14ac:dyDescent="0.35">
      <c r="A42" s="98"/>
      <c r="B42" s="97"/>
    </row>
    <row r="43" spans="1:2" x14ac:dyDescent="0.35">
      <c r="A43" s="98"/>
      <c r="B43" s="97" t="s">
        <v>3920</v>
      </c>
    </row>
    <row r="44" spans="1:2" x14ac:dyDescent="0.35">
      <c r="A44" s="98"/>
      <c r="B44" s="104" t="s">
        <v>3921</v>
      </c>
    </row>
    <row r="45" spans="1:2" x14ac:dyDescent="0.35">
      <c r="A45" s="98"/>
      <c r="B45" s="105" t="s">
        <v>3922</v>
      </c>
    </row>
    <row r="46" spans="1:2" x14ac:dyDescent="0.35">
      <c r="A46" s="98"/>
      <c r="B46" s="105" t="s">
        <v>3923</v>
      </c>
    </row>
    <row r="47" spans="1:2" x14ac:dyDescent="0.35">
      <c r="A47" s="98"/>
      <c r="B47" s="105" t="s">
        <v>3924</v>
      </c>
    </row>
    <row r="48" spans="1:2" x14ac:dyDescent="0.35">
      <c r="A48" s="98"/>
      <c r="B48" s="105" t="s">
        <v>3925</v>
      </c>
    </row>
    <row r="49" spans="1:2" x14ac:dyDescent="0.35">
      <c r="A49" s="98"/>
      <c r="B49" s="105" t="s">
        <v>3926</v>
      </c>
    </row>
    <row r="50" spans="1:2" x14ac:dyDescent="0.35">
      <c r="A50" s="98"/>
      <c r="B50" s="105" t="s">
        <v>3927</v>
      </c>
    </row>
    <row r="51" spans="1:2" x14ac:dyDescent="0.35">
      <c r="A51" s="98"/>
      <c r="B51" s="105" t="s">
        <v>3928</v>
      </c>
    </row>
    <row r="52" spans="1:2" x14ac:dyDescent="0.35">
      <c r="A52" s="98"/>
      <c r="B52" s="105" t="s">
        <v>3929</v>
      </c>
    </row>
    <row r="53" spans="1:2" x14ac:dyDescent="0.35">
      <c r="A53" s="98"/>
      <c r="B53" s="105" t="s">
        <v>3930</v>
      </c>
    </row>
    <row r="54" spans="1:2" x14ac:dyDescent="0.35">
      <c r="A54" s="98"/>
      <c r="B54" s="105" t="s">
        <v>3931</v>
      </c>
    </row>
    <row r="55" spans="1:2" x14ac:dyDescent="0.35">
      <c r="A55" s="98"/>
      <c r="B55" s="104" t="s">
        <v>3932</v>
      </c>
    </row>
    <row r="56" spans="1:2" x14ac:dyDescent="0.35">
      <c r="A56" s="98"/>
      <c r="B56" s="105" t="s">
        <v>3933</v>
      </c>
    </row>
    <row r="57" spans="1:2" x14ac:dyDescent="0.35">
      <c r="A57" s="98"/>
      <c r="B57" s="105" t="s">
        <v>3933</v>
      </c>
    </row>
    <row r="58" spans="1:2" x14ac:dyDescent="0.35">
      <c r="A58" s="98"/>
      <c r="B58" s="104" t="s">
        <v>3934</v>
      </c>
    </row>
    <row r="59" spans="1:2" x14ac:dyDescent="0.35">
      <c r="A59" s="98"/>
      <c r="B59" s="104" t="s">
        <v>3935</v>
      </c>
    </row>
    <row r="60" spans="1:2" x14ac:dyDescent="0.35">
      <c r="A60" s="98"/>
      <c r="B60" s="97"/>
    </row>
    <row r="61" spans="1:2" x14ac:dyDescent="0.35">
      <c r="A61" s="98"/>
      <c r="B61" s="99" t="s">
        <v>3936</v>
      </c>
    </row>
    <row r="62" spans="1:2" x14ac:dyDescent="0.35">
      <c r="A62" s="98"/>
      <c r="B62" s="97"/>
    </row>
    <row r="63" spans="1:2" x14ac:dyDescent="0.35">
      <c r="A63" s="98"/>
      <c r="B63" s="97" t="s">
        <v>3937</v>
      </c>
    </row>
    <row r="64" spans="1:2" x14ac:dyDescent="0.35">
      <c r="A64" s="98"/>
      <c r="B64" s="97" t="s">
        <v>3938</v>
      </c>
    </row>
    <row r="65" spans="1:2" x14ac:dyDescent="0.35">
      <c r="A65" s="98"/>
      <c r="B65" s="97"/>
    </row>
    <row r="66" spans="1:2" ht="42" x14ac:dyDescent="0.35">
      <c r="A66" s="98"/>
      <c r="B66" s="101" t="s">
        <v>3939</v>
      </c>
    </row>
  </sheetData>
  <sheetProtection formatCells="0" formatColumns="0" formatRows="0" insertHyperlinks="0" autoFilter="0"/>
  <hyperlinks>
    <hyperlink ref="A1" location="INDICE!D8" tooltip="INDICE" display="INDICE" xr:uid="{67F437A2-BD46-41BE-B889-B5BB0AC84159}"/>
    <hyperlink ref="A2" location="OBSERVACIONES!A1" tooltip="OBSERVACIONES" display="OBSERVACIONES" xr:uid="{4A7F940C-C63F-41AB-99A0-09F68804BF89}"/>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57944-3B98-41B4-875D-51A48C594091}">
  <sheetPr codeName="Hoja02">
    <tabColor rgb="FF002060"/>
  </sheetPr>
  <dimension ref="A1:H13"/>
  <sheetViews>
    <sheetView showGridLines="0" zoomScale="80" zoomScaleNormal="80" workbookViewId="0">
      <pane xSplit="1" ySplit="5" topLeftCell="E10" activePane="bottomRight" state="frozen"/>
      <selection pane="topRight" activeCell="B1" sqref="B1"/>
      <selection pane="bottomLeft" activeCell="A6" sqref="A6"/>
      <selection pane="bottomRight" activeCell="E13" sqref="E13"/>
    </sheetView>
  </sheetViews>
  <sheetFormatPr baseColWidth="10" defaultColWidth="11.453125" defaultRowHeight="14" x14ac:dyDescent="0.35"/>
  <cols>
    <col min="1" max="1" width="7.54296875" style="107" customWidth="1"/>
    <col min="2" max="2" width="30.54296875" style="107" customWidth="1"/>
    <col min="3" max="5" width="16.54296875" style="108" customWidth="1"/>
    <col min="6" max="6" width="16.54296875" style="107" customWidth="1"/>
    <col min="7" max="7" width="100.54296875" style="107" customWidth="1"/>
    <col min="8" max="8" width="20.54296875" style="107" customWidth="1"/>
    <col min="9" max="9" width="21.54296875" style="11" customWidth="1"/>
    <col min="10" max="16384" width="11.453125" style="11"/>
  </cols>
  <sheetData>
    <row r="1" spans="1:8" x14ac:dyDescent="0.35">
      <c r="A1" s="106"/>
    </row>
    <row r="2" spans="1:8" x14ac:dyDescent="0.35">
      <c r="A2" s="106"/>
    </row>
    <row r="3" spans="1:8" ht="25.5" thickBot="1" x14ac:dyDescent="0.4">
      <c r="B3" s="406" t="s">
        <v>3940</v>
      </c>
      <c r="C3" s="406"/>
      <c r="D3" s="406"/>
      <c r="E3" s="406"/>
      <c r="F3" s="406"/>
      <c r="G3" s="406"/>
      <c r="H3" s="406"/>
    </row>
    <row r="4" spans="1:8" ht="14.5" thickTop="1" x14ac:dyDescent="0.35"/>
    <row r="5" spans="1:8" ht="28" x14ac:dyDescent="0.35">
      <c r="B5" s="256" t="s">
        <v>3941</v>
      </c>
      <c r="C5" s="256" t="s">
        <v>3942</v>
      </c>
      <c r="D5" s="256" t="s">
        <v>3943</v>
      </c>
      <c r="E5" s="256" t="s">
        <v>3944</v>
      </c>
      <c r="F5" s="256" t="s">
        <v>3945</v>
      </c>
      <c r="G5" s="256" t="s">
        <v>3946</v>
      </c>
      <c r="H5" s="256" t="s">
        <v>3947</v>
      </c>
    </row>
    <row r="6" spans="1:8" ht="70" x14ac:dyDescent="0.35">
      <c r="B6" s="113" t="s">
        <v>3948</v>
      </c>
      <c r="C6" s="110" t="s">
        <v>3949</v>
      </c>
      <c r="D6" s="110" t="s">
        <v>3950</v>
      </c>
      <c r="E6" s="110" t="s">
        <v>3951</v>
      </c>
      <c r="F6" s="110" t="s">
        <v>3952</v>
      </c>
      <c r="G6" s="109" t="s">
        <v>3953</v>
      </c>
      <c r="H6" s="111" t="s">
        <v>3954</v>
      </c>
    </row>
    <row r="7" spans="1:8" ht="42" x14ac:dyDescent="0.35">
      <c r="B7" s="113" t="s">
        <v>3955</v>
      </c>
      <c r="C7" s="110" t="s">
        <v>3949</v>
      </c>
      <c r="D7" s="110" t="s">
        <v>3956</v>
      </c>
      <c r="E7" s="110" t="s">
        <v>3951</v>
      </c>
      <c r="F7" s="110" t="s">
        <v>3952</v>
      </c>
      <c r="G7" s="109" t="s">
        <v>3957</v>
      </c>
      <c r="H7" s="110"/>
    </row>
    <row r="8" spans="1:8" ht="70" x14ac:dyDescent="0.35">
      <c r="B8" s="113" t="s">
        <v>3958</v>
      </c>
      <c r="C8" s="110" t="s">
        <v>3949</v>
      </c>
      <c r="D8" s="110" t="s">
        <v>3959</v>
      </c>
      <c r="E8" s="110" t="s">
        <v>3951</v>
      </c>
      <c r="F8" s="110" t="s">
        <v>3952</v>
      </c>
      <c r="G8" s="109" t="s">
        <v>3960</v>
      </c>
      <c r="H8" s="111" t="s">
        <v>3958</v>
      </c>
    </row>
    <row r="9" spans="1:8" ht="42" x14ac:dyDescent="0.35">
      <c r="B9" s="113" t="s">
        <v>3961</v>
      </c>
      <c r="C9" s="110" t="s">
        <v>3949</v>
      </c>
      <c r="D9" s="110" t="s">
        <v>3956</v>
      </c>
      <c r="E9" s="110" t="s">
        <v>3951</v>
      </c>
      <c r="F9" s="110" t="s">
        <v>3952</v>
      </c>
      <c r="G9" s="109" t="s">
        <v>3962</v>
      </c>
      <c r="H9" s="110"/>
    </row>
    <row r="10" spans="1:8" ht="42" x14ac:dyDescent="0.35">
      <c r="B10" s="113" t="s">
        <v>3963</v>
      </c>
      <c r="C10" s="110" t="s">
        <v>1</v>
      </c>
      <c r="D10" s="110" t="s">
        <v>3964</v>
      </c>
      <c r="E10" s="110" t="s">
        <v>3951</v>
      </c>
      <c r="F10" s="110" t="s">
        <v>3952</v>
      </c>
      <c r="G10" s="109" t="s">
        <v>3965</v>
      </c>
      <c r="H10" s="110"/>
    </row>
    <row r="11" spans="1:8" ht="42" x14ac:dyDescent="0.35">
      <c r="B11" s="113" t="s">
        <v>3966</v>
      </c>
      <c r="C11" s="110" t="s">
        <v>3967</v>
      </c>
      <c r="D11" s="110" t="s">
        <v>3968</v>
      </c>
      <c r="E11" s="110" t="s">
        <v>3951</v>
      </c>
      <c r="F11" s="110" t="s">
        <v>3952</v>
      </c>
      <c r="G11" s="109" t="s">
        <v>3969</v>
      </c>
      <c r="H11" s="110"/>
    </row>
    <row r="12" spans="1:8" ht="70" x14ac:dyDescent="0.35">
      <c r="B12" s="113" t="s">
        <v>3970</v>
      </c>
      <c r="C12" s="110" t="s">
        <v>3949</v>
      </c>
      <c r="D12" s="110" t="s">
        <v>3971</v>
      </c>
      <c r="E12" s="110" t="s">
        <v>3951</v>
      </c>
      <c r="F12" s="110" t="s">
        <v>3952</v>
      </c>
      <c r="G12" s="109" t="s">
        <v>3972</v>
      </c>
      <c r="H12" s="111" t="s">
        <v>3973</v>
      </c>
    </row>
    <row r="13" spans="1:8" ht="70" x14ac:dyDescent="0.35">
      <c r="B13" s="113" t="s">
        <v>3974</v>
      </c>
      <c r="C13" s="110" t="s">
        <v>3949</v>
      </c>
      <c r="D13" s="110" t="s">
        <v>3975</v>
      </c>
      <c r="E13" s="110" t="s">
        <v>3951</v>
      </c>
      <c r="F13" s="110" t="s">
        <v>3952</v>
      </c>
      <c r="G13" s="109" t="s">
        <v>3976</v>
      </c>
      <c r="H13" s="111" t="s">
        <v>3977</v>
      </c>
    </row>
  </sheetData>
  <sheetProtection algorithmName="SHA-512" hashValue="Ng6SUsd72zBRjSTm0uggXVdVBLYsqnQvtaFjgk9TR7gQ333b8daf/fnlxAheXnrNYl7pgXd234BWfpaviVcc7w==" saltValue="X3mmT2or0Se40pexERPWPw==" spinCount="100000" sheet="1" formatCells="0" formatColumns="0" formatRows="0" insertHyperlinks="0" autoFilter="0"/>
  <mergeCells count="1">
    <mergeCell ref="B3:H3"/>
  </mergeCells>
  <hyperlinks>
    <hyperlink ref="H6" location="Clase_Dato" tooltip="Clase_Dato" display="Clase_Dato" xr:uid="{1429F0A6-317A-407E-880E-FAEC26FF8744}"/>
    <hyperlink ref="H8" location="Archivo" tooltip="Archivo" display="Archivo" xr:uid="{0CEABE2A-EB95-4351-B88B-A06138C3991A}"/>
    <hyperlink ref="H12" location="Tipo_Carga_Clase_Dato " tooltip="Tipo_Carga_Clase_Dato " display="Tipo_Carga_Clase_Dato " xr:uid="{96B4F870-81F3-4B88-BF96-5FA066387D89}"/>
    <hyperlink ref="H13" location="Tipo_Moneda" tooltip="Tipo_Moneda" display="Tipo_Moneda" xr:uid="{1511C568-52DE-4C57-96B6-C0E304BFD484}"/>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6B887-8F11-461D-991A-7014AEE23CDA}">
  <sheetPr codeName="Hoja03">
    <tabColor rgb="FF002060"/>
  </sheetPr>
  <dimension ref="A1:D20"/>
  <sheetViews>
    <sheetView showGridLines="0" zoomScaleNormal="100" workbookViewId="0">
      <pane xSplit="1" ySplit="3" topLeftCell="B4" activePane="bottomRight" state="frozen"/>
      <selection pane="topRight" activeCell="B2" sqref="B2"/>
      <selection pane="bottomLeft" activeCell="A4" sqref="A4"/>
      <selection pane="bottomRight" activeCell="B9" sqref="B9"/>
    </sheetView>
  </sheetViews>
  <sheetFormatPr baseColWidth="10" defaultColWidth="13.54296875" defaultRowHeight="14" x14ac:dyDescent="0.35"/>
  <cols>
    <col min="1" max="1" width="15.6328125" style="107" customWidth="1"/>
    <col min="2" max="2" width="125.6328125" style="109" customWidth="1"/>
    <col min="3" max="3" width="15.6328125" style="11" customWidth="1"/>
    <col min="4" max="4" width="16.54296875" style="11" hidden="1" customWidth="1"/>
    <col min="5" max="5" width="100.54296875" style="11" customWidth="1"/>
    <col min="6" max="6" width="20.54296875" style="11" customWidth="1"/>
    <col min="7" max="16384" width="13.54296875" style="11"/>
  </cols>
  <sheetData>
    <row r="1" spans="1:4" x14ac:dyDescent="0.35">
      <c r="A1" s="106"/>
    </row>
    <row r="2" spans="1:4" x14ac:dyDescent="0.35">
      <c r="A2" s="106"/>
    </row>
    <row r="3" spans="1:4" ht="42" x14ac:dyDescent="0.35">
      <c r="B3" s="281" t="s">
        <v>3978</v>
      </c>
      <c r="C3" s="254" t="s">
        <v>3979</v>
      </c>
      <c r="D3" s="151" t="s">
        <v>3980</v>
      </c>
    </row>
    <row r="4" spans="1:4" x14ac:dyDescent="0.35">
      <c r="B4" s="282"/>
      <c r="C4" s="152"/>
    </row>
    <row r="5" spans="1:4" x14ac:dyDescent="0.35">
      <c r="B5" s="283" t="s">
        <v>3981</v>
      </c>
      <c r="C5" s="152"/>
    </row>
    <row r="6" spans="1:4" x14ac:dyDescent="0.35">
      <c r="B6" s="154" t="s">
        <v>3982</v>
      </c>
      <c r="C6" s="152"/>
      <c r="D6" s="156"/>
    </row>
    <row r="7" spans="1:4" x14ac:dyDescent="0.35">
      <c r="B7" s="154" t="s">
        <v>3983</v>
      </c>
      <c r="C7" s="152"/>
      <c r="D7" s="156"/>
    </row>
    <row r="8" spans="1:4" x14ac:dyDescent="0.35">
      <c r="B8" s="154" t="s">
        <v>3984</v>
      </c>
      <c r="C8" s="152"/>
      <c r="D8" s="156"/>
    </row>
    <row r="9" spans="1:4" ht="42" x14ac:dyDescent="0.35">
      <c r="B9" s="154" t="s">
        <v>3985</v>
      </c>
      <c r="C9" s="152"/>
      <c r="D9" s="156"/>
    </row>
    <row r="10" spans="1:4" x14ac:dyDescent="0.35">
      <c r="B10" s="154" t="s">
        <v>3986</v>
      </c>
      <c r="C10" s="152"/>
      <c r="D10" s="156"/>
    </row>
    <row r="11" spans="1:4" x14ac:dyDescent="0.35">
      <c r="B11" s="154" t="s">
        <v>3987</v>
      </c>
      <c r="C11" s="152"/>
      <c r="D11" s="156"/>
    </row>
    <row r="12" spans="1:4" x14ac:dyDescent="0.35">
      <c r="B12" s="154" t="s">
        <v>3988</v>
      </c>
      <c r="C12" s="152"/>
      <c r="D12" s="156"/>
    </row>
    <row r="13" spans="1:4" x14ac:dyDescent="0.35">
      <c r="B13" s="282"/>
      <c r="C13" s="152"/>
    </row>
    <row r="14" spans="1:4" x14ac:dyDescent="0.35">
      <c r="B14" s="67" t="s">
        <v>3989</v>
      </c>
      <c r="C14" s="152"/>
    </row>
    <row r="15" spans="1:4" x14ac:dyDescent="0.35">
      <c r="B15" s="155" t="s">
        <v>3990</v>
      </c>
      <c r="C15" s="152"/>
      <c r="D15" s="156"/>
    </row>
    <row r="16" spans="1:4" ht="126" x14ac:dyDescent="0.35">
      <c r="B16" s="157" t="s">
        <v>3991</v>
      </c>
      <c r="C16" s="284"/>
      <c r="D16" s="156"/>
    </row>
    <row r="17" spans="2:4" ht="84" x14ac:dyDescent="0.35">
      <c r="B17" s="157" t="s">
        <v>3992</v>
      </c>
      <c r="C17" s="284"/>
      <c r="D17" s="280"/>
    </row>
    <row r="18" spans="2:4" ht="42" x14ac:dyDescent="0.35">
      <c r="B18" s="157" t="s">
        <v>3993</v>
      </c>
      <c r="C18" s="152"/>
    </row>
    <row r="19" spans="2:4" ht="70" x14ac:dyDescent="0.35">
      <c r="B19" s="157" t="s">
        <v>3994</v>
      </c>
      <c r="C19" s="152"/>
      <c r="D19" s="156"/>
    </row>
    <row r="20" spans="2:4" ht="56" x14ac:dyDescent="0.35">
      <c r="B20" s="157" t="s">
        <v>3995</v>
      </c>
      <c r="C20" s="152"/>
    </row>
  </sheetData>
  <sheetProtection algorithmName="SHA-512" hashValue="Px405dv7YURAt+doXT+3IhPE9Ohn5QQR6Gkqqe7nfTt6xeHNhyhjoc0lNq5v5TtU7OJYhTYA4t5TrHYRCs0JoQ==" saltValue="nufHLAm1XgORC4rii4nAog==" spinCount="100000" sheet="1" formatCells="0" formatColumns="0" formatRows="0" insertHyperlinks="0" autoFilter="0"/>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6665C-E454-4220-A8DE-D79F17995CE1}">
  <sheetPr codeName="Hoja22">
    <tabColor rgb="FF002060"/>
  </sheetPr>
  <dimension ref="A1:B29"/>
  <sheetViews>
    <sheetView showGridLines="0" topLeftCell="A2" zoomScale="99" zoomScaleNormal="99" workbookViewId="0">
      <pane xSplit="1" ySplit="4" topLeftCell="B23" activePane="bottomRight" state="frozen"/>
      <selection pane="topRight" activeCell="B2" sqref="B2"/>
      <selection pane="bottomLeft" activeCell="A6" sqref="A6"/>
      <selection pane="bottomRight" activeCell="B25" sqref="B25"/>
    </sheetView>
  </sheetViews>
  <sheetFormatPr baseColWidth="10" defaultColWidth="11.453125" defaultRowHeight="14" x14ac:dyDescent="0.3"/>
  <cols>
    <col min="1" max="1" width="5.453125" style="69" customWidth="1"/>
    <col min="2" max="2" width="125.54296875" style="69" customWidth="1"/>
    <col min="3" max="3" width="21.54296875" style="12" customWidth="1"/>
    <col min="4" max="16384" width="11.453125" style="12"/>
  </cols>
  <sheetData>
    <row r="1" spans="1:2" hidden="1" x14ac:dyDescent="0.3">
      <c r="A1" s="124"/>
    </row>
    <row r="2" spans="1:2" x14ac:dyDescent="0.3">
      <c r="A2" s="124"/>
    </row>
    <row r="3" spans="1:2" ht="14.5" thickBot="1" x14ac:dyDescent="0.35">
      <c r="B3" s="132" t="s">
        <v>3900</v>
      </c>
    </row>
    <row r="5" spans="1:2" ht="14.5" thickBot="1" x14ac:dyDescent="0.35">
      <c r="B5" s="132" t="s">
        <v>3996</v>
      </c>
    </row>
    <row r="7" spans="1:2" ht="42" x14ac:dyDescent="0.3">
      <c r="B7" s="70" t="s">
        <v>3997</v>
      </c>
    </row>
    <row r="9" spans="1:2" ht="14.5" thickBot="1" x14ac:dyDescent="0.35">
      <c r="B9" s="132" t="s">
        <v>3998</v>
      </c>
    </row>
    <row r="10" spans="1:2" x14ac:dyDescent="0.3">
      <c r="B10" s="145"/>
    </row>
    <row r="11" spans="1:2" ht="28" x14ac:dyDescent="0.3">
      <c r="B11" s="70" t="s">
        <v>3999</v>
      </c>
    </row>
    <row r="12" spans="1:2" x14ac:dyDescent="0.3">
      <c r="B12" s="145"/>
    </row>
    <row r="13" spans="1:2" ht="14.5" thickBot="1" x14ac:dyDescent="0.35">
      <c r="B13" s="132" t="s">
        <v>4000</v>
      </c>
    </row>
    <row r="14" spans="1:2" x14ac:dyDescent="0.3">
      <c r="B14" s="107"/>
    </row>
    <row r="15" spans="1:2" x14ac:dyDescent="0.3">
      <c r="B15" s="146" t="s">
        <v>4001</v>
      </c>
    </row>
    <row r="16" spans="1:2" x14ac:dyDescent="0.3">
      <c r="B16" s="147" t="s">
        <v>4002</v>
      </c>
    </row>
    <row r="17" spans="2:2" x14ac:dyDescent="0.3">
      <c r="B17" s="147" t="s">
        <v>4003</v>
      </c>
    </row>
    <row r="18" spans="2:2" x14ac:dyDescent="0.3">
      <c r="B18" s="147" t="s">
        <v>4004</v>
      </c>
    </row>
    <row r="19" spans="2:2" x14ac:dyDescent="0.3">
      <c r="B19" s="147" t="s">
        <v>4005</v>
      </c>
    </row>
    <row r="20" spans="2:2" x14ac:dyDescent="0.3">
      <c r="B20" s="147" t="s">
        <v>4006</v>
      </c>
    </row>
    <row r="21" spans="2:2" x14ac:dyDescent="0.3">
      <c r="B21" s="147" t="s">
        <v>4007</v>
      </c>
    </row>
    <row r="22" spans="2:2" x14ac:dyDescent="0.3">
      <c r="B22" s="147" t="s">
        <v>4008</v>
      </c>
    </row>
    <row r="23" spans="2:2" x14ac:dyDescent="0.3">
      <c r="B23" s="147" t="s">
        <v>4009</v>
      </c>
    </row>
    <row r="24" spans="2:2" x14ac:dyDescent="0.3">
      <c r="B24" s="147" t="s">
        <v>4010</v>
      </c>
    </row>
    <row r="25" spans="2:2" x14ac:dyDescent="0.3">
      <c r="B25" s="146" t="s">
        <v>4011</v>
      </c>
    </row>
    <row r="27" spans="2:2" ht="14.5" thickBot="1" x14ac:dyDescent="0.35">
      <c r="B27" s="132" t="s">
        <v>4012</v>
      </c>
    </row>
    <row r="29" spans="2:2" x14ac:dyDescent="0.3">
      <c r="B29" s="264" t="s">
        <v>4013</v>
      </c>
    </row>
  </sheetData>
  <sheetProtection algorithmName="SHA-512" hashValue="roSPilixosUGEUmd9v+wMVhHapb1nhuZkqGKeC51rvbY7+czrcX8zqMrVKIZUVP4NSyhlKAEQCzVUI8F+c8qAQ==" saltValue="wbMEWG2fvuUYX+B1jrE65Q==" spinCount="100000" sheet="1" formatCells="0" formatColumns="0" formatRows="0" insertHyperlinks="0" autoFilter="0"/>
  <pageMargins left="0.7" right="0.7" top="0.75" bottom="0.75" header="0.3" footer="0.3"/>
  <pageSetup orientation="portrait" horizontalDpi="90" verticalDpi="90" r:id="rId1"/>
  <headerFooter>
    <oddFooter>&amp;C&amp;1#&amp;"Calibri"&amp;10&amp;K000000Uso Interno</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94BD9-01C3-4025-9044-3EC163306032}">
  <sheetPr codeName="Hoja23">
    <tabColor rgb="FF002060"/>
  </sheetPr>
  <dimension ref="A1:H15"/>
  <sheetViews>
    <sheetView showGridLines="0" zoomScale="99" zoomScaleNormal="99" workbookViewId="0">
      <pane xSplit="1" ySplit="5" topLeftCell="B13" activePane="bottomRight" state="frozen"/>
      <selection pane="topRight" activeCell="B1" sqref="B1"/>
      <selection pane="bottomLeft" activeCell="A6" sqref="A6"/>
      <selection pane="bottomRight" activeCell="B15" sqref="B15"/>
    </sheetView>
  </sheetViews>
  <sheetFormatPr baseColWidth="10" defaultColWidth="11.453125" defaultRowHeight="14" x14ac:dyDescent="0.35"/>
  <cols>
    <col min="1" max="1" width="10.453125" style="107" customWidth="1"/>
    <col min="2" max="2" width="30.54296875" style="107" customWidth="1"/>
    <col min="3" max="6" width="16.54296875" style="108" customWidth="1"/>
    <col min="7" max="7" width="100.54296875" style="108" customWidth="1"/>
    <col min="8" max="8" width="20.54296875" style="107" customWidth="1"/>
    <col min="9" max="9" width="21.54296875" style="11" customWidth="1"/>
    <col min="10" max="16384" width="11.453125" style="11"/>
  </cols>
  <sheetData>
    <row r="1" spans="1:8" x14ac:dyDescent="0.35">
      <c r="A1" s="106"/>
    </row>
    <row r="2" spans="1:8" x14ac:dyDescent="0.35">
      <c r="A2" s="106"/>
    </row>
    <row r="3" spans="1:8" ht="25" x14ac:dyDescent="0.35">
      <c r="B3" s="406" t="s">
        <v>4014</v>
      </c>
      <c r="C3" s="406"/>
      <c r="D3" s="406"/>
      <c r="E3" s="406"/>
      <c r="F3" s="406"/>
      <c r="G3" s="406"/>
      <c r="H3" s="406"/>
    </row>
    <row r="4" spans="1:8" ht="14.5" thickTop="1" x14ac:dyDescent="0.35"/>
    <row r="5" spans="1:8" ht="28" x14ac:dyDescent="0.35">
      <c r="B5" s="255" t="s">
        <v>4015</v>
      </c>
      <c r="C5" s="256" t="s">
        <v>3942</v>
      </c>
      <c r="D5" s="256" t="s">
        <v>3943</v>
      </c>
      <c r="E5" s="256" t="s">
        <v>3944</v>
      </c>
      <c r="F5" s="256" t="s">
        <v>3945</v>
      </c>
      <c r="G5" s="255" t="s">
        <v>3946</v>
      </c>
      <c r="H5" s="256" t="s">
        <v>3947</v>
      </c>
    </row>
    <row r="6" spans="1:8" ht="70" x14ac:dyDescent="0.35">
      <c r="B6" s="115" t="s">
        <v>4016</v>
      </c>
      <c r="C6" s="110"/>
      <c r="D6" s="110"/>
      <c r="E6" s="110"/>
      <c r="F6" s="110"/>
      <c r="G6" s="73" t="s">
        <v>4017</v>
      </c>
    </row>
    <row r="7" spans="1:8" ht="56" x14ac:dyDescent="0.35">
      <c r="B7" s="115" t="s">
        <v>4018</v>
      </c>
      <c r="C7" s="110" t="s">
        <v>3967</v>
      </c>
      <c r="D7" s="110" t="s">
        <v>4019</v>
      </c>
      <c r="E7" s="110" t="s">
        <v>3951</v>
      </c>
      <c r="F7" s="110" t="s">
        <v>3952</v>
      </c>
      <c r="G7" s="73" t="s">
        <v>4020</v>
      </c>
    </row>
    <row r="8" spans="1:8" ht="70" x14ac:dyDescent="0.35">
      <c r="B8" s="115" t="s">
        <v>4021</v>
      </c>
      <c r="C8" s="110" t="s">
        <v>3949</v>
      </c>
      <c r="D8" s="110" t="s">
        <v>4022</v>
      </c>
      <c r="E8" s="110" t="s">
        <v>3951</v>
      </c>
      <c r="F8" s="110" t="s">
        <v>3952</v>
      </c>
      <c r="G8" s="73" t="s">
        <v>4023</v>
      </c>
      <c r="H8" s="129" t="s">
        <v>375</v>
      </c>
    </row>
    <row r="9" spans="1:8" ht="70" x14ac:dyDescent="0.35">
      <c r="B9" s="115" t="s">
        <v>4024</v>
      </c>
      <c r="C9" s="110" t="s">
        <v>3949</v>
      </c>
      <c r="D9" s="110" t="s">
        <v>4022</v>
      </c>
      <c r="E9" s="110" t="s">
        <v>3951</v>
      </c>
      <c r="F9" s="110" t="s">
        <v>3952</v>
      </c>
      <c r="G9" s="73" t="s">
        <v>4025</v>
      </c>
      <c r="H9" s="129" t="s">
        <v>315</v>
      </c>
    </row>
    <row r="10" spans="1:8" ht="70" x14ac:dyDescent="0.35">
      <c r="B10" s="115" t="s">
        <v>4026</v>
      </c>
      <c r="C10" s="110" t="s">
        <v>3949</v>
      </c>
      <c r="D10" s="110" t="s">
        <v>3971</v>
      </c>
      <c r="E10" s="110" t="s">
        <v>3951</v>
      </c>
      <c r="F10" s="110" t="s">
        <v>3952</v>
      </c>
      <c r="G10" s="73" t="s">
        <v>4027</v>
      </c>
      <c r="H10" s="129" t="s">
        <v>405</v>
      </c>
    </row>
    <row r="11" spans="1:8" ht="42" x14ac:dyDescent="0.35">
      <c r="B11" s="115" t="s">
        <v>4028</v>
      </c>
      <c r="C11" s="110" t="s">
        <v>3949</v>
      </c>
      <c r="D11" s="110" t="s">
        <v>4029</v>
      </c>
      <c r="E11" s="110" t="s">
        <v>3951</v>
      </c>
      <c r="F11" s="110" t="s">
        <v>3952</v>
      </c>
      <c r="G11" s="73" t="s">
        <v>4030</v>
      </c>
    </row>
    <row r="12" spans="1:8" ht="42" x14ac:dyDescent="0.35">
      <c r="B12" s="115" t="s">
        <v>4031</v>
      </c>
      <c r="C12" s="110" t="s">
        <v>1</v>
      </c>
      <c r="D12" s="110" t="s">
        <v>3964</v>
      </c>
      <c r="E12" s="110" t="s">
        <v>3951</v>
      </c>
      <c r="F12" s="110" t="s">
        <v>3952</v>
      </c>
      <c r="G12" s="73" t="s">
        <v>4032</v>
      </c>
    </row>
    <row r="13" spans="1:8" ht="126" x14ac:dyDescent="0.35">
      <c r="B13" s="115" t="s">
        <v>4033</v>
      </c>
      <c r="C13" s="110" t="s">
        <v>3967</v>
      </c>
      <c r="D13" s="110">
        <v>1</v>
      </c>
      <c r="E13" s="110" t="s">
        <v>3951</v>
      </c>
      <c r="F13" s="110" t="s">
        <v>3952</v>
      </c>
      <c r="G13" s="73" t="s">
        <v>4034</v>
      </c>
    </row>
    <row r="14" spans="1:8" ht="84" x14ac:dyDescent="0.35">
      <c r="B14" s="115" t="s">
        <v>4035</v>
      </c>
      <c r="C14" s="110" t="s">
        <v>3949</v>
      </c>
      <c r="D14" s="110" t="s">
        <v>3971</v>
      </c>
      <c r="E14" s="110" t="s">
        <v>3951</v>
      </c>
      <c r="F14" s="110" t="s">
        <v>3952</v>
      </c>
      <c r="G14" s="73" t="s">
        <v>4036</v>
      </c>
      <c r="H14" s="129" t="s">
        <v>404</v>
      </c>
    </row>
    <row r="15" spans="1:8" ht="70" x14ac:dyDescent="0.35">
      <c r="B15" s="115" t="s">
        <v>4037</v>
      </c>
      <c r="C15" s="110" t="s">
        <v>3967</v>
      </c>
      <c r="D15" s="110" t="s">
        <v>4038</v>
      </c>
      <c r="E15" s="110" t="s">
        <v>3951</v>
      </c>
      <c r="F15" s="110" t="s">
        <v>3952</v>
      </c>
      <c r="G15" s="73" t="s">
        <v>4039</v>
      </c>
    </row>
  </sheetData>
  <sheetProtection algorithmName="SHA-512" hashValue="XV3ymCsluIYxwUrUwOOF6cpJq2gRaW/HNVSSBaxfOmldTwEJLYSfP86su8XWVkPOuLREQyMOKfSi1oyF85vyYQ==" saltValue="UjNSOzbc25zsPG8WaLo86w==" spinCount="100000" sheet="1" formatCells="0" formatColumns="0" formatRows="0" insertHyperlinks="0" autoFilter="0"/>
  <mergeCells count="1">
    <mergeCell ref="B3:H3"/>
  </mergeCells>
  <hyperlinks>
    <hyperlink ref="H8" location="TIPO_GARANTIA" tooltip="TIPO_GARANTIA" display="TIPO_GARANTIA" xr:uid="{EFA1C95C-36BE-4B84-88A3-BAC2AF79E60D}"/>
    <hyperlink ref="H9" location="TIPO_BIEN" tooltip="TIPO_BIEN" display="TIPO_BIEN" xr:uid="{30E68BC8-E83B-4DB1-BAF7-CA6E2EAA9555}"/>
    <hyperlink ref="H10" location="TIPO_POLIZA" tooltip="TIPO_POLIZA" display="TIPO_POLIZA" xr:uid="{A4F57ED5-E89E-44A2-A6B4-DE5A4FC6FCEB}"/>
    <hyperlink ref="H14" location="TIPO_PERSONA" tooltip="TIPO_PERSONA" display="TIPO_PERSONA" xr:uid="{756F5E60-DC9A-4904-9F03-23778D689953}"/>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DB46D-A04D-40EF-839E-29AF6DC8CCFC}">
  <sheetPr codeName="Hoja24">
    <tabColor rgb="FF002060"/>
  </sheetPr>
  <dimension ref="A1:G17"/>
  <sheetViews>
    <sheetView showGridLines="0" zoomScaleNormal="100" workbookViewId="0">
      <selection activeCell="D15" sqref="D15"/>
    </sheetView>
  </sheetViews>
  <sheetFormatPr baseColWidth="10" defaultColWidth="11.453125" defaultRowHeight="14" x14ac:dyDescent="0.35"/>
  <cols>
    <col min="1" max="1" width="19.1796875" style="11" customWidth="1"/>
    <col min="2" max="2" width="10.54296875" style="107" customWidth="1"/>
    <col min="3" max="3" width="18.453125" style="107" customWidth="1"/>
    <col min="4" max="4" width="120.54296875" style="107" customWidth="1"/>
    <col min="5" max="6" width="10.54296875" style="107" customWidth="1"/>
    <col min="7" max="7" width="20.54296875" style="107" customWidth="1"/>
    <col min="8" max="16384" width="11.453125" style="11"/>
  </cols>
  <sheetData>
    <row r="1" spans="1:7" x14ac:dyDescent="0.35">
      <c r="B1" s="106"/>
    </row>
    <row r="2" spans="1:7" x14ac:dyDescent="0.35">
      <c r="B2" s="106"/>
    </row>
    <row r="3" spans="1:7" ht="25.5" thickBot="1" x14ac:dyDescent="0.4">
      <c r="C3" s="406" t="s">
        <v>4040</v>
      </c>
      <c r="D3" s="406"/>
      <c r="E3" s="406"/>
      <c r="F3" s="406"/>
      <c r="G3" s="406"/>
    </row>
    <row r="4" spans="1:7" ht="14.5" thickTop="1" x14ac:dyDescent="0.35"/>
    <row r="5" spans="1:7" ht="25" x14ac:dyDescent="0.35">
      <c r="A5" s="336" t="s">
        <v>4041</v>
      </c>
      <c r="B5" s="336" t="s">
        <v>4042</v>
      </c>
      <c r="C5" s="257" t="s">
        <v>4043</v>
      </c>
      <c r="D5" s="257" t="s">
        <v>4044</v>
      </c>
      <c r="E5" s="257" t="s">
        <v>4045</v>
      </c>
      <c r="F5" s="257" t="s">
        <v>4046</v>
      </c>
      <c r="G5" s="257" t="s">
        <v>4047</v>
      </c>
    </row>
    <row r="6" spans="1:7" ht="32.5" customHeight="1" x14ac:dyDescent="0.35">
      <c r="A6" s="337">
        <v>1</v>
      </c>
      <c r="B6" s="338"/>
      <c r="C6" s="337">
        <v>1</v>
      </c>
      <c r="D6" s="188" t="s">
        <v>4048</v>
      </c>
      <c r="E6" s="187"/>
      <c r="F6" s="187"/>
      <c r="G6" s="189"/>
    </row>
    <row r="7" spans="1:7" ht="32.5" customHeight="1" x14ac:dyDescent="0.35">
      <c r="A7" s="337">
        <v>2</v>
      </c>
      <c r="B7" s="338"/>
      <c r="C7" s="337">
        <v>2</v>
      </c>
      <c r="D7" s="188" t="s">
        <v>4049</v>
      </c>
      <c r="E7" s="187" t="s">
        <v>61</v>
      </c>
      <c r="F7" s="187"/>
      <c r="G7" s="189" t="s">
        <v>4050</v>
      </c>
    </row>
    <row r="8" spans="1:7" ht="32.5" customHeight="1" x14ac:dyDescent="0.35">
      <c r="A8" s="339">
        <v>3</v>
      </c>
      <c r="B8" s="338"/>
      <c r="C8" s="339">
        <v>3</v>
      </c>
      <c r="D8" s="271" t="s">
        <v>3896</v>
      </c>
      <c r="E8" s="187" t="s">
        <v>61</v>
      </c>
      <c r="F8" s="187"/>
      <c r="G8" s="189" t="s">
        <v>4050</v>
      </c>
    </row>
    <row r="9" spans="1:7" ht="32.5" customHeight="1" x14ac:dyDescent="0.35">
      <c r="A9" s="339">
        <v>4</v>
      </c>
      <c r="B9" s="338"/>
      <c r="C9" s="339">
        <v>4</v>
      </c>
      <c r="D9" s="271" t="s">
        <v>4051</v>
      </c>
      <c r="E9" s="187" t="s">
        <v>61</v>
      </c>
      <c r="F9" s="187"/>
      <c r="G9" s="189" t="s">
        <v>4050</v>
      </c>
    </row>
    <row r="10" spans="1:7" ht="32.5" customHeight="1" x14ac:dyDescent="0.35">
      <c r="A10" s="339">
        <v>5</v>
      </c>
      <c r="B10" s="338"/>
      <c r="C10" s="339">
        <v>5</v>
      </c>
      <c r="D10" s="271" t="s">
        <v>4052</v>
      </c>
      <c r="E10" s="187" t="s">
        <v>61</v>
      </c>
      <c r="F10" s="187"/>
      <c r="G10" s="189" t="s">
        <v>4050</v>
      </c>
    </row>
    <row r="11" spans="1:7" ht="32.5" customHeight="1" x14ac:dyDescent="0.35">
      <c r="A11" s="339">
        <v>6</v>
      </c>
      <c r="B11" s="338"/>
      <c r="C11" s="339">
        <v>6</v>
      </c>
      <c r="D11" s="271" t="s">
        <v>4053</v>
      </c>
      <c r="E11" s="187" t="s">
        <v>61</v>
      </c>
      <c r="F11" s="187"/>
      <c r="G11" s="189" t="s">
        <v>4050</v>
      </c>
    </row>
    <row r="12" spans="1:7" ht="62.5" customHeight="1" x14ac:dyDescent="0.35">
      <c r="A12" s="339">
        <v>7</v>
      </c>
      <c r="B12" s="338"/>
      <c r="C12" s="339">
        <v>7</v>
      </c>
      <c r="D12" s="335" t="s">
        <v>4054</v>
      </c>
      <c r="E12" s="235" t="s">
        <v>61</v>
      </c>
      <c r="F12" s="235"/>
      <c r="G12" s="288" t="s">
        <v>4055</v>
      </c>
    </row>
    <row r="13" spans="1:7" x14ac:dyDescent="0.35">
      <c r="A13" s="340"/>
      <c r="B13" s="341"/>
      <c r="C13" s="341"/>
      <c r="D13" s="345"/>
      <c r="E13" s="341"/>
      <c r="F13" s="341"/>
      <c r="G13" s="341"/>
    </row>
    <row r="14" spans="1:7" ht="25" x14ac:dyDescent="0.35">
      <c r="A14" s="342">
        <v>8</v>
      </c>
      <c r="B14" s="342" t="s">
        <v>61</v>
      </c>
      <c r="C14" s="344">
        <v>8</v>
      </c>
      <c r="D14" s="297" t="s">
        <v>4423</v>
      </c>
      <c r="E14" s="298"/>
      <c r="F14" s="298"/>
      <c r="G14" s="189" t="s">
        <v>4050</v>
      </c>
    </row>
    <row r="15" spans="1:7" ht="62.5" x14ac:dyDescent="0.35">
      <c r="A15" s="343" t="s">
        <v>4056</v>
      </c>
      <c r="B15" s="343" t="s">
        <v>4057</v>
      </c>
      <c r="C15" s="296" t="s">
        <v>4058</v>
      </c>
      <c r="D15" s="297" t="s">
        <v>4059</v>
      </c>
      <c r="E15" s="298"/>
      <c r="F15" s="298"/>
      <c r="G15" s="189" t="s">
        <v>4050</v>
      </c>
    </row>
    <row r="16" spans="1:7" ht="62.5" x14ac:dyDescent="0.35">
      <c r="A16" s="343" t="s">
        <v>4056</v>
      </c>
      <c r="B16" s="343" t="s">
        <v>4057</v>
      </c>
      <c r="C16" s="296" t="s">
        <v>4060</v>
      </c>
      <c r="D16" s="297" t="s">
        <v>4061</v>
      </c>
      <c r="E16" s="187"/>
      <c r="F16" s="187"/>
      <c r="G16" s="189"/>
    </row>
    <row r="17" spans="1:7" x14ac:dyDescent="0.35">
      <c r="A17" s="340"/>
      <c r="B17" s="341"/>
      <c r="C17" s="341"/>
      <c r="D17" s="345"/>
      <c r="E17" s="341"/>
      <c r="F17" s="341"/>
      <c r="G17" s="341"/>
    </row>
  </sheetData>
  <sheetProtection algorithmName="SHA-512" hashValue="SSrE2JUBYi7zzmyQ2gFhcV915BrB/pd+7x+tCdj7Rx4SekZveOC9DkawMYlkweF/20QgOv0nieT5YJMmEIf/Mw==" saltValue="Z8YN+SAPG6pMd22Akow40A==" spinCount="100000" sheet="1" formatCells="0" formatColumns="0" formatRows="0" insertHyperlinks="0" autoFilter="0"/>
  <mergeCells count="1">
    <mergeCell ref="C3:G3"/>
  </mergeCell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4611E-3E22-4796-B346-8C2F35D300BC}">
  <sheetPr codeName="Hoja13">
    <tabColor rgb="FF002060"/>
  </sheetPr>
  <dimension ref="A1:E31"/>
  <sheetViews>
    <sheetView showGridLines="0" zoomScale="85" zoomScaleNormal="85" workbookViewId="0">
      <pane xSplit="1" ySplit="5" topLeftCell="B10" activePane="bottomRight" state="frozen"/>
      <selection pane="topRight" activeCell="B1" sqref="B1"/>
      <selection pane="bottomLeft" activeCell="A6" sqref="A6"/>
      <selection pane="bottomRight" activeCell="B16" sqref="B16:B26"/>
    </sheetView>
  </sheetViews>
  <sheetFormatPr baseColWidth="10" defaultColWidth="87.54296875" defaultRowHeight="14" x14ac:dyDescent="0.3"/>
  <cols>
    <col min="1" max="1" width="4.453125" style="69" customWidth="1"/>
    <col min="2" max="2" width="125.54296875" style="69" customWidth="1"/>
    <col min="3" max="3" width="21.54296875" style="12" customWidth="1"/>
    <col min="4" max="16384" width="87.54296875" style="12"/>
  </cols>
  <sheetData>
    <row r="1" spans="1:2" x14ac:dyDescent="0.3">
      <c r="A1" s="124"/>
    </row>
    <row r="2" spans="1:2" x14ac:dyDescent="0.3">
      <c r="A2" s="124"/>
    </row>
    <row r="3" spans="1:2" ht="14.5" thickBot="1" x14ac:dyDescent="0.35">
      <c r="B3" s="132" t="s">
        <v>3900</v>
      </c>
    </row>
    <row r="5" spans="1:2" ht="14.5" thickBot="1" x14ac:dyDescent="0.35">
      <c r="B5" s="132" t="s">
        <v>4062</v>
      </c>
    </row>
    <row r="6" spans="1:2" x14ac:dyDescent="0.3">
      <c r="B6" s="138"/>
    </row>
    <row r="7" spans="1:2" ht="42" x14ac:dyDescent="0.3">
      <c r="B7" s="122" t="s">
        <v>4063</v>
      </c>
    </row>
    <row r="8" spans="1:2" x14ac:dyDescent="0.3">
      <c r="B8" s="122"/>
    </row>
    <row r="9" spans="1:2" x14ac:dyDescent="0.3">
      <c r="B9" s="122" t="s">
        <v>4064</v>
      </c>
    </row>
    <row r="10" spans="1:2" x14ac:dyDescent="0.3">
      <c r="B10" s="122"/>
    </row>
    <row r="11" spans="1:2" x14ac:dyDescent="0.3">
      <c r="B11" s="122" t="s">
        <v>4065</v>
      </c>
    </row>
    <row r="12" spans="1:2" x14ac:dyDescent="0.3">
      <c r="B12" s="118"/>
    </row>
    <row r="13" spans="1:2" ht="14.5" thickBot="1" x14ac:dyDescent="0.35">
      <c r="B13" s="132" t="s">
        <v>4066</v>
      </c>
    </row>
    <row r="15" spans="1:2" x14ac:dyDescent="0.3">
      <c r="A15" s="109"/>
      <c r="B15" s="69" t="s">
        <v>4067</v>
      </c>
    </row>
    <row r="16" spans="1:2" x14ac:dyDescent="0.3">
      <c r="A16" s="109"/>
      <c r="B16" s="139" t="s">
        <v>4068</v>
      </c>
    </row>
    <row r="17" spans="1:5" x14ac:dyDescent="0.3">
      <c r="A17" s="109"/>
      <c r="B17" s="139" t="s">
        <v>4069</v>
      </c>
    </row>
    <row r="18" spans="1:5" x14ac:dyDescent="0.3">
      <c r="A18" s="73"/>
      <c r="B18" s="139" t="s">
        <v>4070</v>
      </c>
    </row>
    <row r="19" spans="1:5" x14ac:dyDescent="0.3">
      <c r="A19" s="109"/>
      <c r="B19" s="139" t="s">
        <v>4071</v>
      </c>
    </row>
    <row r="20" spans="1:5" x14ac:dyDescent="0.3">
      <c r="A20" s="109"/>
      <c r="B20" s="139" t="s">
        <v>4072</v>
      </c>
    </row>
    <row r="21" spans="1:5" x14ac:dyDescent="0.3">
      <c r="A21" s="109"/>
      <c r="B21" s="139" t="s">
        <v>4073</v>
      </c>
    </row>
    <row r="22" spans="1:5" x14ac:dyDescent="0.3">
      <c r="A22" s="109"/>
      <c r="B22" s="139" t="s">
        <v>4074</v>
      </c>
    </row>
    <row r="23" spans="1:5" x14ac:dyDescent="0.3">
      <c r="A23" s="109"/>
      <c r="B23" s="139" t="s">
        <v>4075</v>
      </c>
    </row>
    <row r="24" spans="1:5" x14ac:dyDescent="0.3">
      <c r="A24" s="73"/>
      <c r="B24" s="139" t="s">
        <v>4076</v>
      </c>
    </row>
    <row r="25" spans="1:5" x14ac:dyDescent="0.3">
      <c r="A25" s="109"/>
      <c r="B25" s="139" t="s">
        <v>4079</v>
      </c>
    </row>
    <row r="26" spans="1:5" x14ac:dyDescent="0.3">
      <c r="A26" s="109"/>
      <c r="B26" s="139" t="s">
        <v>4080</v>
      </c>
    </row>
    <row r="27" spans="1:5" x14ac:dyDescent="0.3">
      <c r="B27" s="69" t="s">
        <v>4081</v>
      </c>
    </row>
    <row r="28" spans="1:5" x14ac:dyDescent="0.3">
      <c r="B28" s="141"/>
    </row>
    <row r="29" spans="1:5" ht="14.5" thickBot="1" x14ac:dyDescent="0.35">
      <c r="B29" s="132" t="s">
        <v>4082</v>
      </c>
    </row>
    <row r="30" spans="1:5" x14ac:dyDescent="0.3">
      <c r="B30" s="141"/>
      <c r="E30" s="11"/>
    </row>
    <row r="31" spans="1:5" x14ac:dyDescent="0.3">
      <c r="B31" s="69" t="s">
        <v>4083</v>
      </c>
    </row>
  </sheetData>
  <sheetProtection formatCells="0" formatColumns="0" formatRows="0" insertHyperlinks="0" autoFilter="0"/>
  <pageMargins left="0.7" right="0.7" top="0.75" bottom="0.75" header="0.3" footer="0.3"/>
  <pageSetup orientation="portrait" r:id="rId1"/>
  <headerFooter>
    <oddFooter>&amp;C&amp;1#&amp;"Calibri"&amp;10&amp;K000000Uso Interno</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F3966-98B2-4A90-9489-5AADE7751021}">
  <sheetPr codeName="Hoja14">
    <tabColor rgb="FF002060"/>
  </sheetPr>
  <dimension ref="A1:H22"/>
  <sheetViews>
    <sheetView showGridLines="0" zoomScale="80" zoomScaleNormal="80" workbookViewId="0">
      <pane ySplit="5" topLeftCell="A12" activePane="bottomLeft" state="frozen"/>
      <selection pane="bottomLeft" activeCell="B13" sqref="B13"/>
    </sheetView>
  </sheetViews>
  <sheetFormatPr baseColWidth="10" defaultColWidth="11.453125" defaultRowHeight="14" x14ac:dyDescent="0.35"/>
  <cols>
    <col min="1" max="1" width="14" style="107" customWidth="1"/>
    <col min="2" max="2" width="36.453125" style="107" customWidth="1"/>
    <col min="3" max="6" width="16.54296875" style="108" customWidth="1"/>
    <col min="7" max="7" width="100.54296875" style="107" customWidth="1"/>
    <col min="8" max="8" width="39.453125" style="110" customWidth="1"/>
    <col min="9" max="9" width="21.54296875" style="11" customWidth="1"/>
    <col min="10" max="16384" width="11.453125" style="11"/>
  </cols>
  <sheetData>
    <row r="1" spans="1:8" x14ac:dyDescent="0.35">
      <c r="A1" s="106"/>
    </row>
    <row r="2" spans="1:8" x14ac:dyDescent="0.35">
      <c r="A2" s="106"/>
    </row>
    <row r="3" spans="1:8" ht="25.5" thickBot="1" x14ac:dyDescent="0.4">
      <c r="B3" s="406" t="s">
        <v>4084</v>
      </c>
      <c r="C3" s="406"/>
      <c r="D3" s="406"/>
      <c r="E3" s="406"/>
      <c r="F3" s="406"/>
      <c r="G3" s="406"/>
      <c r="H3" s="406"/>
    </row>
    <row r="4" spans="1:8" ht="14.5" thickTop="1" x14ac:dyDescent="0.35"/>
    <row r="5" spans="1:8" ht="28" x14ac:dyDescent="0.35">
      <c r="B5" s="258" t="s">
        <v>4015</v>
      </c>
      <c r="C5" s="258" t="s">
        <v>3942</v>
      </c>
      <c r="D5" s="258" t="s">
        <v>3943</v>
      </c>
      <c r="E5" s="258" t="s">
        <v>3944</v>
      </c>
      <c r="F5" s="258" t="s">
        <v>3945</v>
      </c>
      <c r="G5" s="258" t="s">
        <v>3946</v>
      </c>
      <c r="H5" s="265" t="s">
        <v>3947</v>
      </c>
    </row>
    <row r="6" spans="1:8" ht="70" x14ac:dyDescent="0.35">
      <c r="B6" s="113" t="s">
        <v>4085</v>
      </c>
      <c r="C6" s="110"/>
      <c r="D6" s="110"/>
      <c r="E6" s="110"/>
      <c r="F6" s="110"/>
      <c r="G6" s="122" t="s">
        <v>4086</v>
      </c>
    </row>
    <row r="7" spans="1:8" ht="42" x14ac:dyDescent="0.35">
      <c r="B7" s="115" t="s">
        <v>4087</v>
      </c>
      <c r="C7" s="110" t="s">
        <v>3967</v>
      </c>
      <c r="D7" s="110" t="s">
        <v>4019</v>
      </c>
      <c r="E7" s="110" t="s">
        <v>3951</v>
      </c>
      <c r="F7" s="110" t="s">
        <v>3952</v>
      </c>
      <c r="G7" s="122" t="s">
        <v>4088</v>
      </c>
    </row>
    <row r="8" spans="1:8" ht="70" x14ac:dyDescent="0.35">
      <c r="B8" s="113" t="s">
        <v>4089</v>
      </c>
      <c r="C8" s="110" t="s">
        <v>3949</v>
      </c>
      <c r="D8" s="110" t="s">
        <v>3971</v>
      </c>
      <c r="E8" s="110" t="s">
        <v>3951</v>
      </c>
      <c r="F8" s="110" t="s">
        <v>3952</v>
      </c>
      <c r="G8" s="122" t="s">
        <v>4425</v>
      </c>
    </row>
    <row r="9" spans="1:8" ht="56" x14ac:dyDescent="0.35">
      <c r="B9" s="115" t="s">
        <v>4090</v>
      </c>
      <c r="C9" s="110" t="s">
        <v>1</v>
      </c>
      <c r="D9" s="110" t="s">
        <v>3964</v>
      </c>
      <c r="E9" s="110" t="s">
        <v>3951</v>
      </c>
      <c r="F9" s="110" t="s">
        <v>3952</v>
      </c>
      <c r="G9" s="122" t="s">
        <v>4091</v>
      </c>
    </row>
    <row r="10" spans="1:8" ht="42" x14ac:dyDescent="0.35">
      <c r="B10" s="113" t="s">
        <v>4092</v>
      </c>
      <c r="C10" s="110" t="s">
        <v>1</v>
      </c>
      <c r="D10" s="110" t="s">
        <v>3964</v>
      </c>
      <c r="E10" s="110" t="s">
        <v>3951</v>
      </c>
      <c r="F10" s="110" t="s">
        <v>4093</v>
      </c>
      <c r="G10" s="122" t="s">
        <v>4094</v>
      </c>
    </row>
    <row r="11" spans="1:8" ht="84" x14ac:dyDescent="0.35">
      <c r="B11" s="113" t="s">
        <v>4095</v>
      </c>
      <c r="C11" s="110" t="s">
        <v>3949</v>
      </c>
      <c r="D11" s="110" t="s">
        <v>3971</v>
      </c>
      <c r="E11" s="110" t="s">
        <v>3951</v>
      </c>
      <c r="F11" s="110" t="s">
        <v>3952</v>
      </c>
      <c r="G11" s="122" t="s">
        <v>4424</v>
      </c>
      <c r="H11" s="129" t="s">
        <v>4096</v>
      </c>
    </row>
    <row r="12" spans="1:8" ht="112" x14ac:dyDescent="0.35">
      <c r="B12" s="113" t="s">
        <v>4097</v>
      </c>
      <c r="C12" s="110" t="s">
        <v>3967</v>
      </c>
      <c r="D12" s="110" t="s">
        <v>4038</v>
      </c>
      <c r="E12" s="110" t="s">
        <v>3951</v>
      </c>
      <c r="F12" s="110" t="s">
        <v>3952</v>
      </c>
      <c r="G12" s="122" t="s">
        <v>4098</v>
      </c>
    </row>
    <row r="13" spans="1:8" ht="56" x14ac:dyDescent="0.35">
      <c r="B13" s="113" t="s">
        <v>4099</v>
      </c>
      <c r="C13" s="110" t="s">
        <v>3949</v>
      </c>
      <c r="D13" s="120" t="s">
        <v>4428</v>
      </c>
      <c r="E13" s="110" t="s">
        <v>3951</v>
      </c>
      <c r="F13" s="110" t="s">
        <v>3952</v>
      </c>
      <c r="G13" s="122" t="s">
        <v>4100</v>
      </c>
    </row>
    <row r="14" spans="1:8" ht="70" x14ac:dyDescent="0.35">
      <c r="B14" s="113" t="s">
        <v>4101</v>
      </c>
      <c r="C14" s="110" t="s">
        <v>3949</v>
      </c>
      <c r="D14" s="110" t="s">
        <v>3975</v>
      </c>
      <c r="E14" s="110" t="s">
        <v>3951</v>
      </c>
      <c r="F14" s="110" t="s">
        <v>3952</v>
      </c>
      <c r="G14" s="122" t="s">
        <v>4102</v>
      </c>
      <c r="H14" s="129" t="s">
        <v>4103</v>
      </c>
    </row>
    <row r="15" spans="1:8" ht="70" x14ac:dyDescent="0.35">
      <c r="B15" s="115" t="s">
        <v>4104</v>
      </c>
      <c r="C15" s="110" t="s">
        <v>3949</v>
      </c>
      <c r="D15" s="110">
        <v>1</v>
      </c>
      <c r="E15" s="110" t="s">
        <v>3951</v>
      </c>
      <c r="F15" s="110" t="s">
        <v>3952</v>
      </c>
      <c r="G15" s="122" t="s">
        <v>4105</v>
      </c>
      <c r="H15" s="129" t="s">
        <v>4106</v>
      </c>
    </row>
    <row r="16" spans="1:8" ht="93.65" customHeight="1" x14ac:dyDescent="0.35">
      <c r="B16" s="113" t="s">
        <v>4112</v>
      </c>
      <c r="C16" s="110" t="s">
        <v>3949</v>
      </c>
      <c r="D16" s="110" t="s">
        <v>4111</v>
      </c>
      <c r="E16" s="110" t="s">
        <v>3951</v>
      </c>
      <c r="F16" s="110" t="s">
        <v>3952</v>
      </c>
      <c r="G16" s="109" t="s">
        <v>4113</v>
      </c>
      <c r="H16" s="110" t="s">
        <v>4114</v>
      </c>
    </row>
    <row r="17" spans="2:8" ht="92.15" customHeight="1" x14ac:dyDescent="0.35">
      <c r="B17" s="113" t="s">
        <v>4115</v>
      </c>
      <c r="C17" s="110" t="s">
        <v>3949</v>
      </c>
      <c r="D17" s="110" t="s">
        <v>4116</v>
      </c>
      <c r="E17" s="110" t="s">
        <v>3951</v>
      </c>
      <c r="F17" s="110" t="s">
        <v>3952</v>
      </c>
      <c r="G17" s="122" t="s">
        <v>4117</v>
      </c>
      <c r="H17" s="110" t="s">
        <v>4118</v>
      </c>
    </row>
    <row r="22" spans="2:8" x14ac:dyDescent="0.35">
      <c r="G22" s="138"/>
    </row>
  </sheetData>
  <sheetProtection algorithmName="SHA-512" hashValue="GSlw5PIoOEQte8vn1OmGjArSjgOJ1G92rwA47jFTuJMbDu513bSrQnB1++fM2hIZR2dQCrkAqJNsBdrSFlhtCw==" saltValue="kfktih4NgDcotTIuQqt+Ew==" spinCount="100000" sheet="1" formatCells="0" formatColumns="0" formatRows="0" insertHyperlinks="0" autoFilter="0"/>
  <mergeCells count="1">
    <mergeCell ref="B3:H3"/>
  </mergeCells>
  <hyperlinks>
    <hyperlink ref="H11" location="TIPO_PERSONA" tooltip="TIPO_PERSONA" display="TIPO_PERSONA" xr:uid="{7F8FAA6E-518E-4915-AA88-FD08484BB75F}"/>
    <hyperlink ref="H14" location="TIPO_MONEDA" tooltip="TIPO_MONEDA" display="TIPO_MONEDA" xr:uid="{7482680F-586E-4BAE-BA13-C4B3AEECA7E8}"/>
    <hyperlink ref="H15" location="Tipo_Asignacion_Calificacion" tooltip="Tipo_Asignacion_Calificacion" display="Tipo_Asignacion_Calificacion" xr:uid="{A5FC5BCB-80EC-43CB-A80A-C91D7C707E77}"/>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F4D0E-A5C8-4F02-852B-11CCB452FA2E}">
  <sheetPr codeName="Hoja15">
    <tabColor rgb="FF002060"/>
  </sheetPr>
  <dimension ref="A1:G20"/>
  <sheetViews>
    <sheetView showGridLines="0" zoomScale="85" zoomScaleNormal="85" workbookViewId="0">
      <selection activeCell="D19" sqref="D19"/>
    </sheetView>
  </sheetViews>
  <sheetFormatPr baseColWidth="10" defaultColWidth="11.453125" defaultRowHeight="14" x14ac:dyDescent="0.35"/>
  <cols>
    <col min="1" max="2" width="15.453125" style="107" customWidth="1"/>
    <col min="3" max="3" width="20.453125" style="108" customWidth="1"/>
    <col min="4" max="4" width="131.453125" style="107" customWidth="1"/>
    <col min="5" max="5" width="19.453125" style="107" customWidth="1"/>
    <col min="6" max="6" width="24.453125" style="107" customWidth="1"/>
    <col min="7" max="7" width="20.54296875" style="73" customWidth="1"/>
    <col min="8" max="16384" width="11.453125" style="11"/>
  </cols>
  <sheetData>
    <row r="1" spans="1:7" x14ac:dyDescent="0.35">
      <c r="A1" s="106"/>
      <c r="B1" s="106"/>
    </row>
    <row r="2" spans="1:7" x14ac:dyDescent="0.35">
      <c r="A2" s="106"/>
      <c r="B2" s="106"/>
    </row>
    <row r="3" spans="1:7" ht="25.5" thickBot="1" x14ac:dyDescent="0.4">
      <c r="C3" s="406" t="s">
        <v>4119</v>
      </c>
      <c r="D3" s="406"/>
      <c r="E3" s="406"/>
      <c r="F3" s="406"/>
      <c r="G3" s="406"/>
    </row>
    <row r="5" spans="1:7" ht="69.650000000000006" customHeight="1" x14ac:dyDescent="0.35">
      <c r="A5" s="346" t="s">
        <v>4041</v>
      </c>
      <c r="B5" s="346" t="s">
        <v>4042</v>
      </c>
      <c r="C5" s="266" t="s">
        <v>4120</v>
      </c>
      <c r="D5" s="263" t="s">
        <v>4044</v>
      </c>
      <c r="E5" s="258" t="s">
        <v>4121</v>
      </c>
      <c r="F5" s="258" t="s">
        <v>4046</v>
      </c>
      <c r="G5" s="258" t="s">
        <v>4047</v>
      </c>
    </row>
    <row r="6" spans="1:7" ht="45" x14ac:dyDescent="0.35">
      <c r="A6" s="347">
        <v>1</v>
      </c>
      <c r="B6" s="347"/>
      <c r="C6" s="270">
        <v>1</v>
      </c>
      <c r="D6" s="376" t="s">
        <v>4122</v>
      </c>
      <c r="E6" s="267">
        <v>2</v>
      </c>
      <c r="F6" s="268"/>
      <c r="G6" s="269"/>
    </row>
    <row r="7" spans="1:7" ht="45" x14ac:dyDescent="0.35">
      <c r="A7" s="347">
        <v>2</v>
      </c>
      <c r="B7" s="347"/>
      <c r="C7" s="270">
        <v>2</v>
      </c>
      <c r="D7" s="376" t="s">
        <v>4123</v>
      </c>
      <c r="E7" s="267">
        <v>3</v>
      </c>
      <c r="F7" s="268"/>
      <c r="G7" s="269"/>
    </row>
    <row r="8" spans="1:7" ht="79.5" customHeight="1" x14ac:dyDescent="0.35">
      <c r="A8" s="347">
        <v>3</v>
      </c>
      <c r="B8" s="347"/>
      <c r="C8" s="270">
        <v>3</v>
      </c>
      <c r="D8" s="376" t="s">
        <v>4426</v>
      </c>
      <c r="E8" s="267">
        <v>4</v>
      </c>
      <c r="F8" s="350"/>
      <c r="G8" s="351"/>
    </row>
    <row r="9" spans="1:7" ht="34.5" customHeight="1" x14ac:dyDescent="0.35">
      <c r="A9" s="347">
        <v>5</v>
      </c>
      <c r="B9" s="347"/>
      <c r="C9" s="324">
        <v>4</v>
      </c>
      <c r="D9" s="376" t="s">
        <v>4124</v>
      </c>
      <c r="E9" s="325">
        <v>5</v>
      </c>
      <c r="F9" s="326"/>
      <c r="G9" s="327"/>
    </row>
    <row r="10" spans="1:7" ht="15" x14ac:dyDescent="0.35">
      <c r="A10" s="347">
        <v>92</v>
      </c>
      <c r="B10" s="347"/>
      <c r="C10" s="324">
        <v>5</v>
      </c>
      <c r="D10" s="376" t="s">
        <v>4125</v>
      </c>
      <c r="E10" s="325"/>
      <c r="F10" s="326"/>
      <c r="G10" s="327"/>
    </row>
    <row r="11" spans="1:7" ht="15" x14ac:dyDescent="0.35">
      <c r="A11" s="347">
        <v>93</v>
      </c>
      <c r="B11" s="347"/>
      <c r="C11" s="324">
        <v>6</v>
      </c>
      <c r="D11" s="376" t="s">
        <v>4126</v>
      </c>
      <c r="E11" s="325"/>
      <c r="F11" s="326"/>
      <c r="G11" s="327"/>
    </row>
    <row r="12" spans="1:7" ht="15" x14ac:dyDescent="0.35">
      <c r="A12" s="347">
        <v>94</v>
      </c>
      <c r="B12" s="347"/>
      <c r="C12" s="324">
        <v>7</v>
      </c>
      <c r="D12" s="376" t="s">
        <v>4127</v>
      </c>
      <c r="E12" s="325"/>
      <c r="F12" s="326"/>
      <c r="G12" s="327"/>
    </row>
    <row r="13" spans="1:7" ht="15" x14ac:dyDescent="0.35">
      <c r="A13" s="347">
        <v>8</v>
      </c>
      <c r="B13" s="347"/>
      <c r="C13" s="324">
        <v>8</v>
      </c>
      <c r="D13" s="376" t="s">
        <v>4128</v>
      </c>
      <c r="E13" s="325"/>
      <c r="F13" s="326"/>
      <c r="G13" s="327"/>
    </row>
    <row r="14" spans="1:7" ht="33" customHeight="1" x14ac:dyDescent="0.35">
      <c r="A14" s="347">
        <v>9</v>
      </c>
      <c r="B14" s="347"/>
      <c r="C14" s="299">
        <v>9</v>
      </c>
      <c r="D14" s="377" t="s">
        <v>4129</v>
      </c>
      <c r="E14" s="300"/>
      <c r="F14" s="301"/>
      <c r="G14" s="304" t="s">
        <v>3899</v>
      </c>
    </row>
    <row r="15" spans="1:7" ht="71.5" customHeight="1" x14ac:dyDescent="0.35">
      <c r="A15" s="347">
        <v>10</v>
      </c>
      <c r="B15" s="347"/>
      <c r="C15" s="299">
        <v>10</v>
      </c>
      <c r="D15" s="378" t="s">
        <v>4130</v>
      </c>
      <c r="E15" s="300"/>
      <c r="F15" s="301"/>
      <c r="G15" s="304" t="s">
        <v>3899</v>
      </c>
    </row>
    <row r="16" spans="1:7" ht="69.650000000000006" customHeight="1" x14ac:dyDescent="0.35">
      <c r="A16" s="347">
        <v>11</v>
      </c>
      <c r="B16" s="347"/>
      <c r="C16" s="299">
        <v>11</v>
      </c>
      <c r="D16" s="378" t="s">
        <v>4131</v>
      </c>
      <c r="E16" s="300"/>
      <c r="F16" s="301"/>
      <c r="G16" s="304" t="s">
        <v>3899</v>
      </c>
    </row>
    <row r="17" spans="1:7" ht="15" x14ac:dyDescent="0.35">
      <c r="A17" s="348"/>
      <c r="B17" s="348"/>
      <c r="C17" s="348"/>
      <c r="D17" s="349"/>
      <c r="E17" s="348"/>
      <c r="F17" s="348"/>
      <c r="G17" s="348"/>
    </row>
    <row r="18" spans="1:7" ht="45" x14ac:dyDescent="0.35">
      <c r="A18" s="242" t="s">
        <v>4056</v>
      </c>
      <c r="B18" s="242" t="s">
        <v>4057</v>
      </c>
      <c r="C18" s="299">
        <v>12</v>
      </c>
      <c r="D18" s="378" t="s">
        <v>4132</v>
      </c>
      <c r="E18" s="300"/>
      <c r="F18" s="301"/>
      <c r="G18" s="304" t="s">
        <v>3899</v>
      </c>
    </row>
    <row r="19" spans="1:7" ht="42" x14ac:dyDescent="0.35">
      <c r="A19" s="242" t="s">
        <v>4056</v>
      </c>
      <c r="B19" s="242" t="s">
        <v>4057</v>
      </c>
      <c r="C19" s="299" t="s">
        <v>4133</v>
      </c>
      <c r="D19" s="378" t="s">
        <v>86</v>
      </c>
      <c r="E19" s="300"/>
      <c r="F19" s="301"/>
      <c r="G19" s="380"/>
    </row>
    <row r="20" spans="1:7" ht="15" x14ac:dyDescent="0.35">
      <c r="A20" s="348"/>
      <c r="B20" s="348"/>
      <c r="C20" s="348"/>
      <c r="D20" s="349"/>
      <c r="E20" s="348"/>
      <c r="F20" s="348"/>
      <c r="G20" s="348"/>
    </row>
  </sheetData>
  <sheetProtection algorithmName="SHA-512" hashValue="dS5M4phI5refQlDqQv1fVfuKnTFMC2oy/lyaVNa4MVp+haJiFKokU2nYVuA0MUeY2jJAPBsjX7nfy+Uf6wKeIQ==" saltValue="WSPsBJTk871jV3645AhToA==" spinCount="100000" sheet="1" formatCells="0" formatColumns="0" formatRows="0" insertHyperlinks="0" autoFilter="0"/>
  <mergeCells count="1">
    <mergeCell ref="C3:G3"/>
  </mergeCells>
  <pageMargins left="0.7" right="0.7" top="0.75" bottom="0.75" header="0.3" footer="0.3"/>
  <pageSetup orientation="portrait" r:id="rId1"/>
  <headerFooter>
    <oddFooter>&amp;C&amp;1#&amp;"Calibri"&amp;10&amp;K000000Uso Interno</oddFooter>
  </headerFooter>
  <drawing r:id="rId2"/>
  <legacyDrawing r:id="rId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486A3-B283-4A16-9C86-EA1A78AE878A}">
  <sheetPr codeName="Hoja16">
    <tabColor rgb="FF002060"/>
  </sheetPr>
  <dimension ref="A1:B29"/>
  <sheetViews>
    <sheetView showGridLines="0" zoomScale="85" zoomScaleNormal="85" workbookViewId="0">
      <pane xSplit="1" ySplit="5" topLeftCell="B10" activePane="bottomRight" state="frozen"/>
      <selection pane="topRight" activeCell="B1" sqref="B1"/>
      <selection pane="bottomLeft" activeCell="A6" sqref="A6"/>
      <selection pane="bottomRight" activeCell="B14" sqref="B14"/>
    </sheetView>
  </sheetViews>
  <sheetFormatPr baseColWidth="10" defaultColWidth="11.453125" defaultRowHeight="14" x14ac:dyDescent="0.3"/>
  <cols>
    <col min="1" max="1" width="21.54296875" style="69" customWidth="1"/>
    <col min="2" max="2" width="125.54296875" style="69" customWidth="1"/>
    <col min="3" max="3" width="21.54296875" style="12" customWidth="1"/>
    <col min="4" max="16384" width="11.453125" style="12"/>
  </cols>
  <sheetData>
    <row r="1" spans="1:2" x14ac:dyDescent="0.3">
      <c r="A1" s="124"/>
    </row>
    <row r="2" spans="1:2" ht="28.5" customHeight="1" x14ac:dyDescent="0.3">
      <c r="A2" s="124"/>
    </row>
    <row r="3" spans="1:2" ht="42" customHeight="1" thickBot="1" x14ac:dyDescent="0.35">
      <c r="B3" s="132" t="s">
        <v>3900</v>
      </c>
    </row>
    <row r="5" spans="1:2" ht="14.5" thickBot="1" x14ac:dyDescent="0.35">
      <c r="B5" s="132" t="s">
        <v>4134</v>
      </c>
    </row>
    <row r="7" spans="1:2" ht="42" x14ac:dyDescent="0.3">
      <c r="B7" s="70" t="s">
        <v>4135</v>
      </c>
    </row>
    <row r="8" spans="1:2" x14ac:dyDescent="0.3">
      <c r="B8" s="70"/>
    </row>
    <row r="9" spans="1:2" x14ac:dyDescent="0.3">
      <c r="B9" s="70" t="s">
        <v>4136</v>
      </c>
    </row>
    <row r="10" spans="1:2" x14ac:dyDescent="0.3">
      <c r="B10" s="70"/>
    </row>
    <row r="11" spans="1:2" x14ac:dyDescent="0.3">
      <c r="B11" s="70" t="s">
        <v>4137</v>
      </c>
    </row>
    <row r="13" spans="1:2" ht="14.5" thickBot="1" x14ac:dyDescent="0.35">
      <c r="B13" s="132" t="s">
        <v>4138</v>
      </c>
    </row>
    <row r="15" spans="1:2" x14ac:dyDescent="0.3">
      <c r="B15" s="134" t="s">
        <v>4067</v>
      </c>
    </row>
    <row r="16" spans="1:2" x14ac:dyDescent="0.3">
      <c r="B16" s="142" t="s">
        <v>4139</v>
      </c>
    </row>
    <row r="17" spans="2:2" x14ac:dyDescent="0.3">
      <c r="B17" s="142" t="s">
        <v>4070</v>
      </c>
    </row>
    <row r="18" spans="2:2" x14ac:dyDescent="0.3">
      <c r="B18" s="142" t="s">
        <v>4071</v>
      </c>
    </row>
    <row r="19" spans="2:2" x14ac:dyDescent="0.3">
      <c r="B19" s="142" t="s">
        <v>4072</v>
      </c>
    </row>
    <row r="20" spans="2:2" x14ac:dyDescent="0.3">
      <c r="B20" s="142" t="s">
        <v>4140</v>
      </c>
    </row>
    <row r="21" spans="2:2" x14ac:dyDescent="0.3">
      <c r="B21" s="142" t="s">
        <v>4074</v>
      </c>
    </row>
    <row r="22" spans="2:2" x14ac:dyDescent="0.3">
      <c r="B22" s="142" t="s">
        <v>4075</v>
      </c>
    </row>
    <row r="23" spans="2:2" x14ac:dyDescent="0.3">
      <c r="B23" s="142" t="s">
        <v>4141</v>
      </c>
    </row>
    <row r="24" spans="2:2" x14ac:dyDescent="0.3">
      <c r="B24" s="140" t="s">
        <v>4142</v>
      </c>
    </row>
    <row r="25" spans="2:2" x14ac:dyDescent="0.3">
      <c r="B25" s="143"/>
    </row>
    <row r="27" spans="2:2" ht="14.5" thickBot="1" x14ac:dyDescent="0.35">
      <c r="B27" s="132" t="s">
        <v>4143</v>
      </c>
    </row>
    <row r="29" spans="2:2" x14ac:dyDescent="0.3">
      <c r="B29" s="69" t="s">
        <v>4144</v>
      </c>
    </row>
  </sheetData>
  <sheetProtection algorithmName="SHA-512" hashValue="/ja/BaGZRwH+AgGoCxKykyYmZyOBsk38DVvXdmT318TBH2Z+sL+S/vSuioBQa7zYpmF4/RkQhf0U+g0/bFiSRA==" saltValue="BcsifbZ3y1GvBjvEZInhmA==" spinCount="100000" sheet="1" formatCells="0" formatColumns="0" formatRows="0" insertHyperlinks="0" autoFilter="0"/>
  <pageMargins left="0.7" right="0.7" top="0.75" bottom="0.75" header="0.3" footer="0.3"/>
  <pageSetup orientation="portrait" horizontalDpi="90" verticalDpi="90" r:id="rId1"/>
  <headerFooter>
    <oddFooter>&amp;C&amp;1#&amp;"Calibri"&amp;10&amp;K000000Uso Interno</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F94B3-290B-4B00-818D-7470DDF24D7B}">
  <sheetPr codeName="Hoja17">
    <tabColor rgb="FF002060"/>
  </sheetPr>
  <dimension ref="A1:H14"/>
  <sheetViews>
    <sheetView showGridLines="0" zoomScale="70" zoomScaleNormal="70" workbookViewId="0">
      <pane xSplit="1" ySplit="5" topLeftCell="B6" activePane="bottomRight" state="frozen"/>
      <selection pane="topRight" activeCell="B1" sqref="B1"/>
      <selection pane="bottomLeft" activeCell="A6" sqref="A6"/>
      <selection pane="bottomRight" activeCell="E7" sqref="E7"/>
    </sheetView>
  </sheetViews>
  <sheetFormatPr baseColWidth="10" defaultColWidth="11.453125" defaultRowHeight="14" x14ac:dyDescent="0.35"/>
  <cols>
    <col min="1" max="1" width="10.54296875" style="107" customWidth="1"/>
    <col min="2" max="2" width="30.54296875" style="119" customWidth="1"/>
    <col min="3" max="6" width="16.54296875" style="108" customWidth="1"/>
    <col min="7" max="7" width="100.54296875" style="108" customWidth="1"/>
    <col min="8" max="8" width="20.54296875" style="107" customWidth="1"/>
    <col min="9" max="9" width="21.54296875" style="11" customWidth="1"/>
    <col min="10" max="16384" width="11.453125" style="11"/>
  </cols>
  <sheetData>
    <row r="1" spans="1:8" x14ac:dyDescent="0.35">
      <c r="A1" s="106"/>
    </row>
    <row r="2" spans="1:8" x14ac:dyDescent="0.35">
      <c r="A2" s="106"/>
    </row>
    <row r="3" spans="1:8" ht="25.5" thickBot="1" x14ac:dyDescent="0.4">
      <c r="B3" s="406" t="s">
        <v>4145</v>
      </c>
      <c r="C3" s="406"/>
      <c r="D3" s="406"/>
      <c r="E3" s="406"/>
      <c r="F3" s="406"/>
      <c r="G3" s="406"/>
      <c r="H3" s="406"/>
    </row>
    <row r="4" spans="1:8" ht="14.5" thickTop="1" x14ac:dyDescent="0.35"/>
    <row r="5" spans="1:8" ht="28" x14ac:dyDescent="0.35">
      <c r="B5" s="256" t="s">
        <v>4015</v>
      </c>
      <c r="C5" s="256" t="s">
        <v>3942</v>
      </c>
      <c r="D5" s="256" t="s">
        <v>3943</v>
      </c>
      <c r="E5" s="256" t="s">
        <v>3944</v>
      </c>
      <c r="F5" s="256" t="s">
        <v>3945</v>
      </c>
      <c r="G5" s="256" t="s">
        <v>3946</v>
      </c>
      <c r="H5" s="256" t="s">
        <v>3947</v>
      </c>
    </row>
    <row r="6" spans="1:8" ht="70" x14ac:dyDescent="0.35">
      <c r="B6" s="113" t="s">
        <v>4085</v>
      </c>
      <c r="C6" s="110"/>
      <c r="D6" s="110"/>
      <c r="E6" s="110"/>
      <c r="F6" s="110"/>
      <c r="G6" s="73" t="s">
        <v>4086</v>
      </c>
      <c r="H6" s="110"/>
    </row>
    <row r="7" spans="1:8" ht="42" x14ac:dyDescent="0.35">
      <c r="B7" s="113" t="s">
        <v>4146</v>
      </c>
      <c r="C7" s="110" t="s">
        <v>3967</v>
      </c>
      <c r="D7" s="110" t="s">
        <v>4019</v>
      </c>
      <c r="E7" s="110" t="s">
        <v>3951</v>
      </c>
      <c r="F7" s="110" t="s">
        <v>3952</v>
      </c>
      <c r="G7" s="73" t="s">
        <v>4147</v>
      </c>
      <c r="H7" s="110"/>
    </row>
    <row r="8" spans="1:8" ht="56" x14ac:dyDescent="0.35">
      <c r="B8" s="113" t="s">
        <v>4090</v>
      </c>
      <c r="C8" s="110" t="s">
        <v>1</v>
      </c>
      <c r="D8" s="110" t="s">
        <v>3964</v>
      </c>
      <c r="E8" s="110" t="s">
        <v>3951</v>
      </c>
      <c r="F8" s="110" t="s">
        <v>3952</v>
      </c>
      <c r="G8" s="73" t="s">
        <v>4148</v>
      </c>
      <c r="H8" s="110"/>
    </row>
    <row r="9" spans="1:8" ht="42" x14ac:dyDescent="0.35">
      <c r="B9" s="113" t="s">
        <v>4092</v>
      </c>
      <c r="C9" s="110" t="s">
        <v>1</v>
      </c>
      <c r="D9" s="110" t="s">
        <v>3964</v>
      </c>
      <c r="E9" s="110" t="s">
        <v>3951</v>
      </c>
      <c r="F9" s="110" t="s">
        <v>4093</v>
      </c>
      <c r="G9" s="109" t="s">
        <v>4149</v>
      </c>
      <c r="H9" s="110"/>
    </row>
    <row r="10" spans="1:8" ht="70" x14ac:dyDescent="0.35">
      <c r="B10" s="113" t="s">
        <v>4095</v>
      </c>
      <c r="C10" s="110" t="s">
        <v>3949</v>
      </c>
      <c r="D10" s="110" t="s">
        <v>3971</v>
      </c>
      <c r="E10" s="110" t="s">
        <v>3951</v>
      </c>
      <c r="F10" s="110" t="s">
        <v>3952</v>
      </c>
      <c r="G10" s="109" t="s">
        <v>4150</v>
      </c>
      <c r="H10" s="111" t="s">
        <v>4096</v>
      </c>
    </row>
    <row r="11" spans="1:8" ht="42" x14ac:dyDescent="0.35">
      <c r="B11" s="113" t="s">
        <v>4151</v>
      </c>
      <c r="C11" s="110" t="s">
        <v>3967</v>
      </c>
      <c r="D11" s="110" t="s">
        <v>4038</v>
      </c>
      <c r="E11" s="110" t="s">
        <v>3951</v>
      </c>
      <c r="F11" s="110" t="s">
        <v>3952</v>
      </c>
      <c r="G11" s="109" t="s">
        <v>4152</v>
      </c>
      <c r="H11" s="110"/>
    </row>
    <row r="12" spans="1:8" ht="42" x14ac:dyDescent="0.35">
      <c r="B12" s="113" t="s">
        <v>4153</v>
      </c>
      <c r="C12" s="110" t="s">
        <v>3949</v>
      </c>
      <c r="D12" s="120" t="s">
        <v>4427</v>
      </c>
      <c r="E12" s="110" t="s">
        <v>3951</v>
      </c>
      <c r="F12" s="110" t="s">
        <v>3952</v>
      </c>
      <c r="G12" s="379" t="s">
        <v>4419</v>
      </c>
      <c r="H12" s="110"/>
    </row>
    <row r="13" spans="1:8" ht="70" x14ac:dyDescent="0.35">
      <c r="B13" s="113" t="s">
        <v>4101</v>
      </c>
      <c r="C13" s="110" t="s">
        <v>3949</v>
      </c>
      <c r="D13" s="110" t="s">
        <v>3975</v>
      </c>
      <c r="E13" s="110" t="s">
        <v>3951</v>
      </c>
      <c r="F13" s="110" t="s">
        <v>3952</v>
      </c>
      <c r="G13" s="122" t="s">
        <v>4154</v>
      </c>
      <c r="H13" s="111" t="s">
        <v>4103</v>
      </c>
    </row>
    <row r="14" spans="1:8" ht="84" x14ac:dyDescent="0.35">
      <c r="B14" s="113" t="s">
        <v>4155</v>
      </c>
      <c r="C14" s="120" t="s">
        <v>3949</v>
      </c>
      <c r="D14" s="120" t="s">
        <v>4156</v>
      </c>
      <c r="E14" s="120" t="s">
        <v>3951</v>
      </c>
      <c r="F14" s="121" t="s">
        <v>3952</v>
      </c>
      <c r="G14" s="109" t="s">
        <v>4157</v>
      </c>
      <c r="H14" s="111" t="s">
        <v>4158</v>
      </c>
    </row>
  </sheetData>
  <sheetProtection algorithmName="SHA-512" hashValue="xz5syVsN7i+VfGppsmP+3kH1M/xIqI85PSykJ8ffvsnEZM5C3jgydUE6R/ukfwzvie5xJP2Hg3y1Y5j2LeLfzw==" saltValue="0dxcGGmI+EHyR0njfwDyPQ==" spinCount="100000" sheet="1" formatCells="0" formatColumns="0" formatRows="0" insertHyperlinks="0" autoFilter="0"/>
  <mergeCells count="1">
    <mergeCell ref="B3:H3"/>
  </mergeCells>
  <hyperlinks>
    <hyperlink ref="H10" location="TIPO_PERSONA" tooltip="TIPO_PERSONA" display="TIPO_PERSONA" xr:uid="{25365066-B002-4879-B780-9168D2993F2A}"/>
    <hyperlink ref="H13" location="TIPO_MONEDA" tooltip="TIPO_MONEDA" display="TIPO_MONEDA" xr:uid="{8A3E4A11-18F3-4890-A295-04EA15F79B0A}"/>
    <hyperlink ref="H14" location="TIPO_COLATERAL_FINANCIERO!A1" tooltip="TIPO_COLATERAL_FINANCIERO" display="TIPO COLATERAL FINANCIERO" xr:uid="{6D8E7C90-0438-4B02-95C1-506008EC0841}"/>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C45B9-9F6E-4A90-A8EB-D4F91759848D}">
  <sheetPr codeName="Hoja18">
    <tabColor rgb="FF002060"/>
  </sheetPr>
  <dimension ref="A1:G15"/>
  <sheetViews>
    <sheetView showGridLines="0" zoomScale="98" zoomScaleNormal="98" workbookViewId="0">
      <selection activeCell="D12" sqref="D12"/>
    </sheetView>
  </sheetViews>
  <sheetFormatPr baseColWidth="10" defaultColWidth="11.453125" defaultRowHeight="14" x14ac:dyDescent="0.35"/>
  <cols>
    <col min="1" max="1" width="11.54296875" style="107" customWidth="1"/>
    <col min="2" max="2" width="15" style="107" customWidth="1"/>
    <col min="3" max="3" width="11.54296875" style="107" customWidth="1"/>
    <col min="4" max="4" width="120.54296875" style="107" customWidth="1"/>
    <col min="5" max="6" width="10.54296875" style="107" customWidth="1"/>
    <col min="7" max="7" width="20.54296875" style="107" customWidth="1"/>
    <col min="8" max="8" width="21.54296875" style="11" customWidth="1"/>
    <col min="9" max="16384" width="11.453125" style="11"/>
  </cols>
  <sheetData>
    <row r="1" spans="1:7" x14ac:dyDescent="0.35">
      <c r="A1" s="106"/>
      <c r="B1" s="106"/>
    </row>
    <row r="2" spans="1:7" x14ac:dyDescent="0.35">
      <c r="A2" s="106"/>
      <c r="B2" s="106"/>
    </row>
    <row r="3" spans="1:7" ht="25.5" thickBot="1" x14ac:dyDescent="0.4">
      <c r="C3" s="406" t="s">
        <v>4159</v>
      </c>
      <c r="D3" s="406"/>
      <c r="E3" s="406"/>
      <c r="F3" s="406"/>
      <c r="G3" s="406"/>
    </row>
    <row r="4" spans="1:7" ht="14.5" thickTop="1" x14ac:dyDescent="0.35"/>
    <row r="5" spans="1:7" ht="56" x14ac:dyDescent="0.35">
      <c r="A5" s="352" t="s">
        <v>4041</v>
      </c>
      <c r="B5" s="352" t="s">
        <v>4042</v>
      </c>
      <c r="C5" s="266" t="s">
        <v>4120</v>
      </c>
      <c r="D5" s="259" t="s">
        <v>4044</v>
      </c>
      <c r="E5" s="257" t="s">
        <v>4121</v>
      </c>
      <c r="F5" s="257" t="s">
        <v>4046</v>
      </c>
      <c r="G5" s="257" t="s">
        <v>4047</v>
      </c>
    </row>
    <row r="6" spans="1:7" ht="37.5" x14ac:dyDescent="0.35">
      <c r="A6" s="240">
        <v>1</v>
      </c>
      <c r="B6" s="240"/>
      <c r="C6" s="212">
        <v>1</v>
      </c>
      <c r="D6" s="213" t="s">
        <v>4160</v>
      </c>
      <c r="E6" s="187">
        <v>2</v>
      </c>
      <c r="F6" s="187"/>
      <c r="G6" s="187"/>
    </row>
    <row r="7" spans="1:7" ht="34.4" customHeight="1" x14ac:dyDescent="0.35">
      <c r="A7" s="240">
        <v>2</v>
      </c>
      <c r="B7" s="240"/>
      <c r="C7" s="240">
        <v>2</v>
      </c>
      <c r="D7" s="381" t="s">
        <v>4161</v>
      </c>
      <c r="E7" s="235"/>
      <c r="F7" s="235"/>
      <c r="G7" s="235"/>
    </row>
    <row r="8" spans="1:7" x14ac:dyDescent="0.35">
      <c r="A8" s="240">
        <v>3</v>
      </c>
      <c r="B8" s="240"/>
      <c r="C8" s="240">
        <v>3</v>
      </c>
      <c r="D8" s="382" t="s">
        <v>4162</v>
      </c>
      <c r="E8" s="235"/>
      <c r="F8" s="235"/>
      <c r="G8" s="235"/>
    </row>
    <row r="9" spans="1:7" x14ac:dyDescent="0.35">
      <c r="A9" s="240">
        <v>4</v>
      </c>
      <c r="B9" s="240"/>
      <c r="C9" s="240">
        <v>4</v>
      </c>
      <c r="D9" s="289" t="s">
        <v>3898</v>
      </c>
      <c r="E9" s="290"/>
      <c r="F9" s="290"/>
      <c r="G9" s="290"/>
    </row>
    <row r="10" spans="1:7" x14ac:dyDescent="0.35">
      <c r="A10" s="353"/>
      <c r="B10" s="354"/>
      <c r="C10" s="354"/>
      <c r="D10" s="357"/>
      <c r="E10" s="354"/>
      <c r="F10" s="354"/>
      <c r="G10" s="354"/>
    </row>
    <row r="11" spans="1:7" ht="37.5" x14ac:dyDescent="0.35">
      <c r="A11" s="342" t="s">
        <v>4163</v>
      </c>
      <c r="B11" s="355"/>
      <c r="C11" s="240" t="s">
        <v>4163</v>
      </c>
      <c r="D11" s="289" t="s">
        <v>4429</v>
      </c>
      <c r="E11" s="290"/>
      <c r="F11" s="290"/>
      <c r="G11" s="290"/>
    </row>
    <row r="12" spans="1:7" ht="37.5" x14ac:dyDescent="0.35">
      <c r="A12" s="356" t="s">
        <v>4056</v>
      </c>
      <c r="B12" s="356" t="s">
        <v>4057</v>
      </c>
      <c r="C12" s="296" t="s">
        <v>4164</v>
      </c>
      <c r="D12" s="320" t="s">
        <v>4165</v>
      </c>
      <c r="E12" s="298"/>
      <c r="F12" s="298"/>
      <c r="G12" s="298"/>
    </row>
    <row r="13" spans="1:7" ht="37.5" x14ac:dyDescent="0.35">
      <c r="A13" s="356" t="s">
        <v>4056</v>
      </c>
      <c r="B13" s="356" t="s">
        <v>4057</v>
      </c>
      <c r="C13" s="296" t="s">
        <v>4166</v>
      </c>
      <c r="D13" s="320" t="s">
        <v>4167</v>
      </c>
      <c r="E13" s="298"/>
      <c r="F13" s="298"/>
      <c r="G13" s="298"/>
    </row>
    <row r="14" spans="1:7" x14ac:dyDescent="0.35">
      <c r="A14" s="353"/>
      <c r="B14" s="354"/>
      <c r="C14" s="354"/>
      <c r="D14" s="357"/>
      <c r="E14" s="354"/>
      <c r="F14" s="354"/>
      <c r="G14" s="354"/>
    </row>
    <row r="15" spans="1:7" ht="15" x14ac:dyDescent="0.35">
      <c r="C15" s="144"/>
    </row>
  </sheetData>
  <sheetProtection algorithmName="SHA-512" hashValue="Gigl5bc1ICZw+SqA8piKeVk/Teci8FS3pRfZL8DxICIoBt31aAGczKNAOcPItSfUkUnEyfHxyWf+gx323h9deA==" saltValue="qSMCvEHZ2d6OW2lSyQhBuQ==" spinCount="100000" sheet="1" formatCells="0" formatColumns="0" formatRows="0" insertHyperlinks="0" autoFilter="0"/>
  <mergeCells count="1">
    <mergeCell ref="C3:G3"/>
  </mergeCells>
  <pageMargins left="0.7" right="0.7" top="0.75" bottom="0.75" header="0.3" footer="0.3"/>
  <pageSetup orientation="portrait" horizontalDpi="90" verticalDpi="90" r:id="rId1"/>
  <headerFooter>
    <oddFooter>&amp;C&amp;1#&amp;"Calibri"&amp;10&amp;K000000Uso Interno</oddFooter>
  </headerFooter>
  <drawing r:id="rId2"/>
  <legacyDrawing r:id="rId3"/>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29509-B1C3-44A5-B5D8-A23B49E575AD}">
  <sheetPr codeName="Hoja04">
    <tabColor rgb="FF002060"/>
  </sheetPr>
  <dimension ref="A1:B31"/>
  <sheetViews>
    <sheetView showGridLines="0" zoomScaleNormal="100" workbookViewId="0">
      <pane xSplit="1" ySplit="5" topLeftCell="B6" activePane="bottomRight" state="frozen"/>
      <selection pane="topRight" activeCell="B1" sqref="B1"/>
      <selection pane="bottomLeft" activeCell="A6" sqref="A6"/>
      <selection pane="bottomRight" activeCell="B7" sqref="B7"/>
    </sheetView>
  </sheetViews>
  <sheetFormatPr baseColWidth="10" defaultColWidth="11.453125" defaultRowHeight="14" x14ac:dyDescent="0.35"/>
  <cols>
    <col min="1" max="1" width="9.54296875" style="107" customWidth="1"/>
    <col min="2" max="2" width="125.54296875" style="107" customWidth="1"/>
    <col min="3" max="3" width="21.54296875" style="11" customWidth="1"/>
    <col min="4" max="16384" width="11.453125" style="11"/>
  </cols>
  <sheetData>
    <row r="1" spans="1:2" x14ac:dyDescent="0.35">
      <c r="A1" s="106"/>
    </row>
    <row r="2" spans="1:2" x14ac:dyDescent="0.35">
      <c r="A2" s="106"/>
    </row>
    <row r="3" spans="1:2" x14ac:dyDescent="0.35">
      <c r="B3" s="114" t="s">
        <v>3900</v>
      </c>
    </row>
    <row r="5" spans="1:2" x14ac:dyDescent="0.35">
      <c r="B5" s="114" t="s">
        <v>4168</v>
      </c>
    </row>
    <row r="7" spans="1:2" ht="42" x14ac:dyDescent="0.35">
      <c r="B7" s="73" t="s">
        <v>4169</v>
      </c>
    </row>
    <row r="8" spans="1:2" x14ac:dyDescent="0.35">
      <c r="B8" s="73"/>
    </row>
    <row r="9" spans="1:2" x14ac:dyDescent="0.35">
      <c r="B9" s="73" t="s">
        <v>4136</v>
      </c>
    </row>
    <row r="10" spans="1:2" x14ac:dyDescent="0.35">
      <c r="B10" s="73"/>
    </row>
    <row r="11" spans="1:2" ht="28" x14ac:dyDescent="0.35">
      <c r="B11" s="115" t="s">
        <v>4170</v>
      </c>
    </row>
    <row r="12" spans="1:2" x14ac:dyDescent="0.35">
      <c r="B12" s="73"/>
    </row>
    <row r="13" spans="1:2" x14ac:dyDescent="0.35">
      <c r="B13" s="73" t="s">
        <v>4171</v>
      </c>
    </row>
    <row r="15" spans="1:2" x14ac:dyDescent="0.35">
      <c r="B15" s="114" t="s">
        <v>4172</v>
      </c>
    </row>
    <row r="17" spans="1:2" x14ac:dyDescent="0.35">
      <c r="A17" s="101"/>
      <c r="B17" s="107" t="s">
        <v>4067</v>
      </c>
    </row>
    <row r="18" spans="1:2" x14ac:dyDescent="0.35">
      <c r="A18" s="73"/>
      <c r="B18" s="107" t="s">
        <v>4173</v>
      </c>
    </row>
    <row r="19" spans="1:2" x14ac:dyDescent="0.35">
      <c r="A19" s="116"/>
      <c r="B19" s="107" t="s">
        <v>4174</v>
      </c>
    </row>
    <row r="20" spans="1:2" x14ac:dyDescent="0.35">
      <c r="A20" s="73"/>
      <c r="B20" s="107" t="s">
        <v>4175</v>
      </c>
    </row>
    <row r="21" spans="1:2" x14ac:dyDescent="0.35">
      <c r="A21" s="73"/>
      <c r="B21" s="107" t="s">
        <v>4176</v>
      </c>
    </row>
    <row r="22" spans="1:2" x14ac:dyDescent="0.35">
      <c r="A22" s="109"/>
      <c r="B22" s="107" t="s">
        <v>4177</v>
      </c>
    </row>
    <row r="23" spans="1:2" x14ac:dyDescent="0.35">
      <c r="A23" s="116"/>
      <c r="B23" s="107" t="s">
        <v>4178</v>
      </c>
    </row>
    <row r="24" spans="1:2" x14ac:dyDescent="0.3">
      <c r="A24" s="116"/>
      <c r="B24" s="69" t="s">
        <v>4179</v>
      </c>
    </row>
    <row r="25" spans="1:2" x14ac:dyDescent="0.35">
      <c r="A25" s="116"/>
      <c r="B25" s="117" t="s">
        <v>4180</v>
      </c>
    </row>
    <row r="26" spans="1:2" x14ac:dyDescent="0.35">
      <c r="B26" s="107" t="s">
        <v>4142</v>
      </c>
    </row>
    <row r="29" spans="1:2" x14ac:dyDescent="0.35">
      <c r="B29" s="114" t="s">
        <v>4181</v>
      </c>
    </row>
    <row r="31" spans="1:2" x14ac:dyDescent="0.35">
      <c r="B31" s="118" t="s">
        <v>4182</v>
      </c>
    </row>
  </sheetData>
  <sheetProtection algorithmName="SHA-512" hashValue="lMoZYJafAs7bcR4uc4Jq2xSt5BfMJvdRzctpeGY4Yja22VEI/IaczPk149nz8XDcYJ8z+ZcOHsgfjrV7hahGbw==" saltValue="KdHBlKytiiZWIVsNR6pRyg==" spinCount="100000" sheet="1" formatCells="0" formatColumns="0" formatRows="0" insertHyperlinks="0" autoFilter="0"/>
  <pageMargins left="0.7" right="0.7" top="0.75" bottom="0.75" header="0.3" footer="0.3"/>
  <pageSetup orientation="portrait" horizontalDpi="90" verticalDpi="90" r:id="rId1"/>
  <headerFooter>
    <oddFooter>&amp;C&amp;1#&amp;"Calibri"&amp;10&amp;K000000Uso Interno</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AB923-DE6F-4220-AC17-31233D4AE0B9}">
  <sheetPr codeName="Hoja05">
    <tabColor rgb="FF002060"/>
  </sheetPr>
  <dimension ref="A1:H14"/>
  <sheetViews>
    <sheetView showGridLines="0" zoomScale="70" zoomScaleNormal="70" workbookViewId="0">
      <pane ySplit="5" topLeftCell="A6" activePane="bottomLeft" state="frozen"/>
      <selection pane="bottomLeft" activeCell="C6" sqref="C6"/>
    </sheetView>
  </sheetViews>
  <sheetFormatPr baseColWidth="10" defaultColWidth="9.453125" defaultRowHeight="14" x14ac:dyDescent="0.35"/>
  <cols>
    <col min="1" max="1" width="21.54296875" style="107" customWidth="1"/>
    <col min="2" max="2" width="30.54296875" style="107" customWidth="1"/>
    <col min="3" max="5" width="16.54296875" style="108" customWidth="1"/>
    <col min="6" max="6" width="16.54296875" style="107" customWidth="1"/>
    <col min="7" max="7" width="100.54296875" style="119" customWidth="1"/>
    <col min="8" max="8" width="20.54296875" style="107" customWidth="1"/>
    <col min="9" max="9" width="21.54296875" style="11" customWidth="1"/>
    <col min="10" max="16384" width="9.453125" style="11"/>
  </cols>
  <sheetData>
    <row r="1" spans="1:8" x14ac:dyDescent="0.35">
      <c r="A1" s="106"/>
    </row>
    <row r="2" spans="1:8" x14ac:dyDescent="0.35">
      <c r="A2" s="106"/>
    </row>
    <row r="3" spans="1:8" ht="25.5" thickBot="1" x14ac:dyDescent="0.4">
      <c r="B3" s="406" t="s">
        <v>4183</v>
      </c>
      <c r="C3" s="406"/>
      <c r="D3" s="406"/>
      <c r="E3" s="406"/>
      <c r="F3" s="406"/>
      <c r="G3" s="406"/>
      <c r="H3" s="406"/>
    </row>
    <row r="4" spans="1:8" ht="14.5" thickTop="1" x14ac:dyDescent="0.35"/>
    <row r="5" spans="1:8" ht="28" x14ac:dyDescent="0.35">
      <c r="B5" s="258" t="s">
        <v>4015</v>
      </c>
      <c r="C5" s="258" t="s">
        <v>3942</v>
      </c>
      <c r="D5" s="258" t="s">
        <v>3943</v>
      </c>
      <c r="E5" s="258" t="s">
        <v>3944</v>
      </c>
      <c r="F5" s="258" t="s">
        <v>3945</v>
      </c>
      <c r="G5" s="258" t="s">
        <v>3946</v>
      </c>
      <c r="H5" s="258" t="s">
        <v>3947</v>
      </c>
    </row>
    <row r="6" spans="1:8" ht="70" x14ac:dyDescent="0.35">
      <c r="B6" s="112" t="s">
        <v>4085</v>
      </c>
      <c r="C6" s="120"/>
      <c r="D6" s="120"/>
      <c r="E6" s="120"/>
      <c r="F6" s="110"/>
      <c r="G6" s="101" t="s">
        <v>4086</v>
      </c>
      <c r="H6" s="120"/>
    </row>
    <row r="7" spans="1:8" ht="56" x14ac:dyDescent="0.35">
      <c r="B7" s="115" t="s">
        <v>4184</v>
      </c>
      <c r="C7" s="110" t="s">
        <v>3967</v>
      </c>
      <c r="D7" s="110" t="s">
        <v>4019</v>
      </c>
      <c r="E7" s="110" t="s">
        <v>3951</v>
      </c>
      <c r="F7" s="110" t="s">
        <v>3952</v>
      </c>
      <c r="G7" s="101" t="s">
        <v>4185</v>
      </c>
      <c r="H7" s="120"/>
    </row>
    <row r="8" spans="1:8" ht="70" x14ac:dyDescent="0.35">
      <c r="B8" s="148" t="s">
        <v>4095</v>
      </c>
      <c r="C8" s="110" t="s">
        <v>3949</v>
      </c>
      <c r="D8" s="110" t="s">
        <v>4186</v>
      </c>
      <c r="E8" s="110" t="s">
        <v>3951</v>
      </c>
      <c r="F8" s="110" t="s">
        <v>3952</v>
      </c>
      <c r="G8" s="101" t="s">
        <v>4430</v>
      </c>
      <c r="H8" s="111" t="s">
        <v>4096</v>
      </c>
    </row>
    <row r="9" spans="1:8" ht="112" x14ac:dyDescent="0.35">
      <c r="B9" s="115" t="s">
        <v>4187</v>
      </c>
      <c r="C9" s="110" t="s">
        <v>3967</v>
      </c>
      <c r="D9" s="110" t="s">
        <v>4038</v>
      </c>
      <c r="E9" s="110" t="s">
        <v>3951</v>
      </c>
      <c r="F9" s="110" t="s">
        <v>3952</v>
      </c>
      <c r="G9" s="101" t="s">
        <v>4431</v>
      </c>
      <c r="H9" s="120"/>
    </row>
    <row r="10" spans="1:8" ht="42" x14ac:dyDescent="0.35">
      <c r="B10" s="115" t="s">
        <v>4188</v>
      </c>
      <c r="C10" s="110" t="s">
        <v>3949</v>
      </c>
      <c r="D10" s="110" t="s">
        <v>4189</v>
      </c>
      <c r="E10" s="110" t="s">
        <v>3951</v>
      </c>
      <c r="F10" s="110" t="s">
        <v>4093</v>
      </c>
      <c r="G10" s="101" t="s">
        <v>4190</v>
      </c>
      <c r="H10" s="120"/>
    </row>
    <row r="11" spans="1:8" ht="56" x14ac:dyDescent="0.35">
      <c r="B11" s="113" t="s">
        <v>4191</v>
      </c>
      <c r="C11" s="110" t="s">
        <v>1</v>
      </c>
      <c r="D11" s="110" t="s">
        <v>3964</v>
      </c>
      <c r="E11" s="110" t="s">
        <v>3951</v>
      </c>
      <c r="F11" s="110" t="s">
        <v>4093</v>
      </c>
      <c r="G11" s="101" t="s">
        <v>4192</v>
      </c>
      <c r="H11" s="120"/>
    </row>
    <row r="12" spans="1:8" ht="42" x14ac:dyDescent="0.35">
      <c r="B12" s="148" t="s">
        <v>4193</v>
      </c>
      <c r="C12" s="120" t="s">
        <v>3949</v>
      </c>
      <c r="D12" s="120" t="s">
        <v>4189</v>
      </c>
      <c r="E12" s="120" t="s">
        <v>3951</v>
      </c>
      <c r="F12" s="120" t="s">
        <v>4093</v>
      </c>
      <c r="G12" s="317" t="s">
        <v>4194</v>
      </c>
      <c r="H12" s="120"/>
    </row>
    <row r="13" spans="1:8" ht="80.5" customHeight="1" x14ac:dyDescent="0.35">
      <c r="B13" s="148" t="s">
        <v>95</v>
      </c>
      <c r="C13" s="120" t="s">
        <v>3949</v>
      </c>
      <c r="D13" s="120" t="s">
        <v>4195</v>
      </c>
      <c r="E13" s="120" t="s">
        <v>3951</v>
      </c>
      <c r="F13" s="120" t="s">
        <v>4093</v>
      </c>
      <c r="G13" s="101" t="s">
        <v>4420</v>
      </c>
      <c r="H13" s="120"/>
    </row>
    <row r="14" spans="1:8" ht="84" x14ac:dyDescent="0.35">
      <c r="B14" s="148" t="s">
        <v>4196</v>
      </c>
      <c r="C14" s="120" t="s">
        <v>3949</v>
      </c>
      <c r="D14" s="120" t="s">
        <v>4195</v>
      </c>
      <c r="E14" s="120" t="s">
        <v>3951</v>
      </c>
      <c r="F14" s="120" t="s">
        <v>4093</v>
      </c>
      <c r="G14" s="101" t="s">
        <v>4197</v>
      </c>
      <c r="H14" s="120"/>
    </row>
  </sheetData>
  <sheetProtection algorithmName="SHA-512" hashValue="PYpsK4asYyUvrx5prsaksBPnZkx0hRMok92JEhJlsHEr9LtSViphYiJYNPTn1gpbjkpQ7s7QTnqtrikOKrG8CA==" saltValue="KCLHe7H/NaH45FKtN2JfRg==" spinCount="100000" sheet="1" formatCells="0" formatColumns="0" formatRows="0" insertHyperlinks="0" autoFilter="0"/>
  <mergeCells count="1">
    <mergeCell ref="B3:H3"/>
  </mergeCells>
  <hyperlinks>
    <hyperlink ref="H8" location="TIPO_PERSONA" tooltip="TIPO_PERSONA" display="TIPO_PERSONA" xr:uid="{91993411-BFA6-47EA-88A2-088E474621EA}"/>
  </hyperlinks>
  <pageMargins left="0.7" right="0.7" top="0.75" bottom="0.75" header="0.3" footer="0.3"/>
  <pageSetup orientation="portrait" horizontalDpi="90" verticalDpi="90" r:id="rId1"/>
  <headerFooter>
    <oddFooter>&amp;C&amp;1#&amp;"Calibri"&amp;10&amp;K000000Uso Interno</oddFooter>
  </headerFooter>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25B75-B198-4FAF-BF7F-C4CC44F4AA80}">
  <sheetPr codeName="Hoja06">
    <tabColor rgb="FF002060"/>
  </sheetPr>
  <dimension ref="A3:H28"/>
  <sheetViews>
    <sheetView showGridLines="0" zoomScale="80" zoomScaleNormal="80" workbookViewId="0">
      <pane xSplit="3" ySplit="5" topLeftCell="D6" activePane="bottomRight" state="frozen"/>
      <selection pane="topRight" activeCell="C1" sqref="C1"/>
      <selection pane="bottomLeft" activeCell="A6" sqref="A6"/>
      <selection pane="bottomRight" activeCell="D12" sqref="D12"/>
    </sheetView>
  </sheetViews>
  <sheetFormatPr baseColWidth="10" defaultColWidth="11.453125" defaultRowHeight="14" x14ac:dyDescent="0.35"/>
  <cols>
    <col min="1" max="1" width="21.81640625" style="11" customWidth="1"/>
    <col min="2" max="2" width="21" style="11" customWidth="1"/>
    <col min="3" max="3" width="10.453125" style="107" customWidth="1"/>
    <col min="4" max="4" width="120.54296875" style="107" customWidth="1"/>
    <col min="5" max="6" width="10.54296875" style="107" customWidth="1"/>
    <col min="7" max="7" width="20.54296875" style="107" hidden="1" customWidth="1"/>
    <col min="8" max="8" width="21.54296875" style="11" hidden="1" customWidth="1"/>
    <col min="9" max="16384" width="11.453125" style="11"/>
  </cols>
  <sheetData>
    <row r="3" spans="1:8" ht="17.5" x14ac:dyDescent="0.35">
      <c r="C3" s="407" t="s">
        <v>4198</v>
      </c>
      <c r="D3" s="407"/>
      <c r="E3" s="407"/>
      <c r="F3" s="407"/>
      <c r="G3" s="407"/>
    </row>
    <row r="5" spans="1:8" ht="42" x14ac:dyDescent="0.35">
      <c r="A5" s="346" t="s">
        <v>4041</v>
      </c>
      <c r="B5" s="346" t="s">
        <v>4042</v>
      </c>
      <c r="C5" s="260" t="s">
        <v>4120</v>
      </c>
      <c r="D5" s="261" t="s">
        <v>4044</v>
      </c>
      <c r="E5" s="260" t="s">
        <v>4121</v>
      </c>
      <c r="F5" s="260" t="s">
        <v>4046</v>
      </c>
      <c r="G5" s="121" t="s">
        <v>4047</v>
      </c>
      <c r="H5" s="151" t="s">
        <v>4199</v>
      </c>
    </row>
    <row r="6" spans="1:8" ht="80.900000000000006" customHeight="1" x14ac:dyDescent="0.35">
      <c r="A6" s="242">
        <v>1</v>
      </c>
      <c r="B6" s="242"/>
      <c r="C6" s="242">
        <v>1</v>
      </c>
      <c r="D6" s="243" t="s">
        <v>4200</v>
      </c>
      <c r="E6" s="216">
        <v>2</v>
      </c>
      <c r="F6" s="216"/>
      <c r="G6" s="184" t="s">
        <v>4050</v>
      </c>
      <c r="H6" s="190" t="s">
        <v>4201</v>
      </c>
    </row>
    <row r="7" spans="1:8" ht="33" customHeight="1" x14ac:dyDescent="0.35">
      <c r="A7" s="242">
        <v>5</v>
      </c>
      <c r="B7" s="242"/>
      <c r="C7" s="242">
        <v>2</v>
      </c>
      <c r="D7" s="319" t="s">
        <v>4202</v>
      </c>
      <c r="E7" s="216">
        <v>6</v>
      </c>
      <c r="F7" s="184">
        <v>9</v>
      </c>
      <c r="G7" s="184"/>
      <c r="H7" s="185"/>
    </row>
    <row r="8" spans="1:8" ht="42" x14ac:dyDescent="0.35">
      <c r="A8" s="322">
        <v>6</v>
      </c>
      <c r="B8" s="322"/>
      <c r="C8" s="322">
        <v>3</v>
      </c>
      <c r="D8" s="323" t="s">
        <v>4203</v>
      </c>
      <c r="E8" s="184">
        <v>7</v>
      </c>
      <c r="F8" s="184">
        <v>11</v>
      </c>
      <c r="G8" s="184"/>
      <c r="H8" s="185"/>
    </row>
    <row r="9" spans="1:8" ht="61.5" customHeight="1" x14ac:dyDescent="0.35">
      <c r="A9" s="242">
        <v>12</v>
      </c>
      <c r="B9" s="242"/>
      <c r="C9" s="242">
        <v>4</v>
      </c>
      <c r="D9" s="244" t="s">
        <v>4204</v>
      </c>
      <c r="E9" s="216"/>
      <c r="F9" s="216"/>
      <c r="G9" s="216" t="s">
        <v>4050</v>
      </c>
      <c r="H9" s="186" t="s">
        <v>4205</v>
      </c>
    </row>
    <row r="10" spans="1:8" ht="50.15" customHeight="1" x14ac:dyDescent="0.35">
      <c r="A10" s="242">
        <v>13</v>
      </c>
      <c r="B10" s="242"/>
      <c r="C10" s="242">
        <v>5</v>
      </c>
      <c r="D10" s="383" t="s">
        <v>4206</v>
      </c>
      <c r="E10" s="216" t="s">
        <v>61</v>
      </c>
      <c r="F10" s="216"/>
      <c r="G10" s="216"/>
      <c r="H10" s="186"/>
    </row>
    <row r="11" spans="1:8" ht="28" x14ac:dyDescent="0.35">
      <c r="A11" s="242">
        <v>14</v>
      </c>
      <c r="B11" s="242"/>
      <c r="C11" s="242">
        <v>6</v>
      </c>
      <c r="D11" s="383" t="s">
        <v>4207</v>
      </c>
      <c r="E11" s="216"/>
      <c r="F11" s="216"/>
      <c r="G11" s="216"/>
      <c r="H11" s="186"/>
    </row>
    <row r="12" spans="1:8" ht="26.15" customHeight="1" x14ac:dyDescent="0.35">
      <c r="A12" s="242">
        <v>15</v>
      </c>
      <c r="B12" s="242"/>
      <c r="C12" s="242">
        <v>7</v>
      </c>
      <c r="D12" s="383" t="s">
        <v>3895</v>
      </c>
      <c r="E12" s="216"/>
      <c r="F12" s="216"/>
      <c r="G12" s="217"/>
      <c r="H12" s="186"/>
    </row>
    <row r="13" spans="1:8" ht="26.15" customHeight="1" x14ac:dyDescent="0.35">
      <c r="A13" s="360"/>
      <c r="B13" s="360"/>
      <c r="C13" s="360"/>
      <c r="D13" s="362"/>
      <c r="E13" s="362"/>
      <c r="F13" s="362"/>
      <c r="G13" s="358"/>
      <c r="H13" s="359"/>
    </row>
    <row r="14" spans="1:8" ht="28" x14ac:dyDescent="0.35">
      <c r="A14" s="242" t="s">
        <v>4208</v>
      </c>
      <c r="B14" s="361" t="s">
        <v>61</v>
      </c>
      <c r="C14" s="242" t="s">
        <v>4208</v>
      </c>
      <c r="D14" s="375" t="s">
        <v>4432</v>
      </c>
      <c r="E14" s="216"/>
      <c r="F14" s="216"/>
      <c r="G14" s="304"/>
    </row>
    <row r="15" spans="1:8" ht="42" x14ac:dyDescent="0.35">
      <c r="A15" s="361" t="s">
        <v>4056</v>
      </c>
      <c r="B15" s="361" t="s">
        <v>4057</v>
      </c>
      <c r="C15" s="302" t="s">
        <v>4058</v>
      </c>
      <c r="D15" s="303" t="s">
        <v>4209</v>
      </c>
      <c r="E15" s="304"/>
      <c r="F15" s="304"/>
      <c r="G15" s="304"/>
    </row>
    <row r="16" spans="1:8" ht="42" x14ac:dyDescent="0.35">
      <c r="A16" s="361" t="s">
        <v>4056</v>
      </c>
      <c r="B16" s="361" t="s">
        <v>4057</v>
      </c>
      <c r="C16" s="302" t="s">
        <v>4060</v>
      </c>
      <c r="D16" s="303" t="s">
        <v>4210</v>
      </c>
      <c r="E16" s="304"/>
      <c r="F16" s="304"/>
      <c r="G16" s="304"/>
    </row>
    <row r="17" spans="1:6" x14ac:dyDescent="0.35">
      <c r="A17" s="360"/>
      <c r="B17" s="360"/>
      <c r="C17" s="360"/>
      <c r="D17" s="362"/>
      <c r="E17" s="362"/>
      <c r="F17" s="362"/>
    </row>
    <row r="28" spans="1:6" x14ac:dyDescent="0.35">
      <c r="D28" s="285"/>
    </row>
  </sheetData>
  <sheetProtection algorithmName="SHA-512" hashValue="ZXyO2ywZAINWx9mfPHFxvG7ZUP7K0LWVVgMKMEEXmIR2laScJkkv1cL9xYo+DKBRAeRkInQjYXfhuv52RGKY5Q==" saltValue="xe+DUOJuVvSmXy7riNWjkg==" spinCount="100000" sheet="1" formatCells="0" formatColumns="0" formatRows="0" insertHyperlinks="0" autoFilter="0"/>
  <mergeCells count="1">
    <mergeCell ref="C3:G3"/>
  </mergeCell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6BA37-D9CF-4A0F-B06D-FFCFCF5F2845}">
  <sheetPr codeName="Hoja07">
    <tabColor rgb="FF002060"/>
  </sheetPr>
  <dimension ref="A1:D37"/>
  <sheetViews>
    <sheetView showGridLines="0" zoomScale="85" zoomScaleNormal="85" workbookViewId="0">
      <pane xSplit="1" ySplit="5" topLeftCell="B6" activePane="bottomRight" state="frozen"/>
      <selection pane="topRight" activeCell="B1" sqref="B1"/>
      <selection pane="bottomLeft" activeCell="A6" sqref="A6"/>
      <selection pane="bottomRight" activeCell="B24" sqref="B24"/>
    </sheetView>
  </sheetViews>
  <sheetFormatPr baseColWidth="10" defaultColWidth="11.453125" defaultRowHeight="14" x14ac:dyDescent="0.3"/>
  <cols>
    <col min="1" max="1" width="21.54296875" style="69" customWidth="1"/>
    <col min="2" max="2" width="125.54296875" style="69" customWidth="1"/>
    <col min="3" max="3" width="21.54296875" style="12" customWidth="1"/>
    <col min="4" max="16384" width="11.453125" style="12"/>
  </cols>
  <sheetData>
    <row r="1" spans="1:2" x14ac:dyDescent="0.3">
      <c r="A1" s="123"/>
    </row>
    <row r="2" spans="1:2" x14ac:dyDescent="0.3">
      <c r="A2" s="124"/>
    </row>
    <row r="3" spans="1:2" ht="14.5" thickBot="1" x14ac:dyDescent="0.35">
      <c r="B3" s="125" t="s">
        <v>3900</v>
      </c>
    </row>
    <row r="5" spans="1:2" ht="14.5" thickBot="1" x14ac:dyDescent="0.35">
      <c r="B5" s="125" t="s">
        <v>4211</v>
      </c>
    </row>
    <row r="7" spans="1:2" ht="42" x14ac:dyDescent="0.3">
      <c r="B7" s="70" t="s">
        <v>4212</v>
      </c>
    </row>
    <row r="9" spans="1:2" x14ac:dyDescent="0.3">
      <c r="B9" s="70" t="s">
        <v>4136</v>
      </c>
    </row>
    <row r="11" spans="1:2" x14ac:dyDescent="0.3">
      <c r="B11" s="70" t="s">
        <v>4213</v>
      </c>
    </row>
    <row r="13" spans="1:2" ht="14.5" thickBot="1" x14ac:dyDescent="0.35">
      <c r="B13" s="125" t="s">
        <v>4214</v>
      </c>
    </row>
    <row r="14" spans="1:2" x14ac:dyDescent="0.3">
      <c r="B14" s="107"/>
    </row>
    <row r="15" spans="1:2" x14ac:dyDescent="0.3">
      <c r="A15" s="109"/>
      <c r="B15" s="107" t="s">
        <v>4067</v>
      </c>
    </row>
    <row r="16" spans="1:2" x14ac:dyDescent="0.3">
      <c r="A16" s="126"/>
      <c r="B16" s="107" t="s">
        <v>4215</v>
      </c>
    </row>
    <row r="17" spans="1:4" x14ac:dyDescent="0.3">
      <c r="A17" s="73"/>
      <c r="B17" s="107" t="s">
        <v>4216</v>
      </c>
    </row>
    <row r="18" spans="1:4" x14ac:dyDescent="0.3">
      <c r="A18" s="73"/>
      <c r="B18" s="107" t="s">
        <v>4217</v>
      </c>
    </row>
    <row r="19" spans="1:4" x14ac:dyDescent="0.3">
      <c r="A19" s="73"/>
      <c r="B19" s="107" t="s">
        <v>4218</v>
      </c>
    </row>
    <row r="20" spans="1:4" x14ac:dyDescent="0.3">
      <c r="A20" s="73"/>
      <c r="B20" s="107" t="s">
        <v>4219</v>
      </c>
    </row>
    <row r="21" spans="1:4" x14ac:dyDescent="0.3">
      <c r="A21" s="73"/>
      <c r="B21" s="119" t="s">
        <v>4220</v>
      </c>
    </row>
    <row r="22" spans="1:4" x14ac:dyDescent="0.3">
      <c r="A22" s="73"/>
      <c r="B22" s="119" t="s">
        <v>4221</v>
      </c>
    </row>
    <row r="23" spans="1:4" x14ac:dyDescent="0.3">
      <c r="A23" s="73"/>
      <c r="B23" s="119" t="s">
        <v>4222</v>
      </c>
    </row>
    <row r="24" spans="1:4" x14ac:dyDescent="0.3">
      <c r="A24" s="73"/>
      <c r="B24" s="107" t="s">
        <v>4223</v>
      </c>
    </row>
    <row r="25" spans="1:4" x14ac:dyDescent="0.3">
      <c r="A25" s="122"/>
      <c r="B25" s="107" t="s">
        <v>4224</v>
      </c>
    </row>
    <row r="26" spans="1:4" x14ac:dyDescent="0.3">
      <c r="A26" s="73"/>
      <c r="B26" s="107" t="s">
        <v>4225</v>
      </c>
    </row>
    <row r="27" spans="1:4" x14ac:dyDescent="0.3">
      <c r="A27" s="109"/>
      <c r="B27" s="107" t="s">
        <v>4226</v>
      </c>
    </row>
    <row r="28" spans="1:4" x14ac:dyDescent="0.3">
      <c r="A28" s="73"/>
      <c r="B28" s="107" t="s">
        <v>4227</v>
      </c>
    </row>
    <row r="29" spans="1:4" x14ac:dyDescent="0.3">
      <c r="A29" s="116"/>
      <c r="B29" s="107" t="s">
        <v>4228</v>
      </c>
    </row>
    <row r="30" spans="1:4" x14ac:dyDescent="0.3">
      <c r="A30" s="116"/>
      <c r="B30" s="107" t="s">
        <v>4229</v>
      </c>
      <c r="D30" s="153"/>
    </row>
    <row r="31" spans="1:4" x14ac:dyDescent="0.3">
      <c r="A31" s="116"/>
      <c r="B31" s="107" t="s">
        <v>4230</v>
      </c>
    </row>
    <row r="32" spans="1:4" x14ac:dyDescent="0.3">
      <c r="A32" s="116"/>
      <c r="B32" s="107" t="s">
        <v>4231</v>
      </c>
      <c r="D32" s="153"/>
    </row>
    <row r="33" spans="2:2" x14ac:dyDescent="0.3">
      <c r="B33" s="107" t="s">
        <v>4081</v>
      </c>
    </row>
    <row r="34" spans="2:2" x14ac:dyDescent="0.3">
      <c r="B34" s="127"/>
    </row>
    <row r="35" spans="2:2" ht="14.5" thickBot="1" x14ac:dyDescent="0.35">
      <c r="B35" s="125" t="s">
        <v>4232</v>
      </c>
    </row>
    <row r="36" spans="2:2" x14ac:dyDescent="0.3">
      <c r="B36" s="128"/>
    </row>
    <row r="37" spans="2:2" x14ac:dyDescent="0.3">
      <c r="B37" s="118" t="s">
        <v>4233</v>
      </c>
    </row>
  </sheetData>
  <sheetProtection formatCells="0" formatColumns="0" formatRows="0" insertHyperlinks="0" autoFilter="0"/>
  <pageMargins left="0.7" right="0.7" top="0.75" bottom="0.75" header="0.3" footer="0.3"/>
  <pageSetup orientation="portrait" horizontalDpi="90" verticalDpi="90" r:id="rId1"/>
  <headerFooter>
    <oddFooter>&amp;C&amp;1#&amp;"Calibri"&amp;10&amp;K000000Uso Interno</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50886-1574-4E2F-958C-B4FDE69DDE6D}">
  <sheetPr codeName="Hoja29">
    <tabColor rgb="FFFFFF00"/>
  </sheetPr>
  <dimension ref="A1:D49"/>
  <sheetViews>
    <sheetView showGridLines="0" zoomScale="85" zoomScaleNormal="85" workbookViewId="0">
      <pane xSplit="1" ySplit="5" topLeftCell="B21" activePane="bottomRight" state="frozen"/>
      <selection pane="topRight" activeCell="B1" sqref="B1"/>
      <selection pane="bottomLeft" activeCell="A6" sqref="A6"/>
      <selection pane="bottomRight" activeCell="B49" sqref="B48:B49"/>
    </sheetView>
  </sheetViews>
  <sheetFormatPr baseColWidth="10" defaultColWidth="11.453125" defaultRowHeight="14" x14ac:dyDescent="0.3"/>
  <cols>
    <col min="1" max="1" width="21.54296875" style="69" customWidth="1"/>
    <col min="2" max="2" width="125.54296875" style="69" customWidth="1"/>
    <col min="3" max="3" width="21.54296875" style="12" customWidth="1"/>
    <col min="4" max="16384" width="11.453125" style="12"/>
  </cols>
  <sheetData>
    <row r="1" spans="1:2" x14ac:dyDescent="0.3">
      <c r="A1" s="123"/>
    </row>
    <row r="2" spans="1:2" x14ac:dyDescent="0.3">
      <c r="A2" s="124"/>
    </row>
    <row r="3" spans="1:2" ht="14.5" thickBot="1" x14ac:dyDescent="0.35">
      <c r="B3" s="125" t="s">
        <v>3900</v>
      </c>
    </row>
    <row r="5" spans="1:2" ht="14.5" thickBot="1" x14ac:dyDescent="0.35">
      <c r="B5" s="125" t="s">
        <v>4211</v>
      </c>
    </row>
    <row r="7" spans="1:2" ht="42" x14ac:dyDescent="0.3">
      <c r="B7" s="70" t="s">
        <v>4212</v>
      </c>
    </row>
    <row r="9" spans="1:2" x14ac:dyDescent="0.3">
      <c r="B9" s="70" t="s">
        <v>4136</v>
      </c>
    </row>
    <row r="11" spans="1:2" x14ac:dyDescent="0.3">
      <c r="B11" s="70" t="s">
        <v>4213</v>
      </c>
    </row>
    <row r="13" spans="1:2" ht="14.5" thickBot="1" x14ac:dyDescent="0.35">
      <c r="B13" s="125" t="s">
        <v>4214</v>
      </c>
    </row>
    <row r="14" spans="1:2" x14ac:dyDescent="0.3">
      <c r="B14" s="107"/>
    </row>
    <row r="15" spans="1:2" x14ac:dyDescent="0.3">
      <c r="A15" s="109"/>
      <c r="B15" s="107" t="s">
        <v>4067</v>
      </c>
    </row>
    <row r="16" spans="1:2" x14ac:dyDescent="0.3">
      <c r="A16" s="126"/>
      <c r="B16" s="107" t="s">
        <v>4215</v>
      </c>
    </row>
    <row r="17" spans="1:2" x14ac:dyDescent="0.3">
      <c r="A17" s="73"/>
      <c r="B17" s="107" t="s">
        <v>4216</v>
      </c>
    </row>
    <row r="18" spans="1:2" x14ac:dyDescent="0.3">
      <c r="A18" s="73"/>
      <c r="B18" s="107" t="s">
        <v>4217</v>
      </c>
    </row>
    <row r="19" spans="1:2" x14ac:dyDescent="0.3">
      <c r="A19" s="73"/>
      <c r="B19" s="107" t="s">
        <v>4218</v>
      </c>
    </row>
    <row r="20" spans="1:2" x14ac:dyDescent="0.3">
      <c r="A20" s="73"/>
      <c r="B20" s="107" t="s">
        <v>4219</v>
      </c>
    </row>
    <row r="21" spans="1:2" x14ac:dyDescent="0.3">
      <c r="A21" s="73"/>
      <c r="B21" s="119" t="s">
        <v>4220</v>
      </c>
    </row>
    <row r="22" spans="1:2" x14ac:dyDescent="0.3">
      <c r="A22" s="73"/>
      <c r="B22" s="119" t="s">
        <v>4221</v>
      </c>
    </row>
    <row r="23" spans="1:2" x14ac:dyDescent="0.3">
      <c r="A23" s="73"/>
      <c r="B23" s="119" t="s">
        <v>4222</v>
      </c>
    </row>
    <row r="24" spans="1:2" x14ac:dyDescent="0.3">
      <c r="A24" s="73"/>
      <c r="B24" s="307" t="s">
        <v>4234</v>
      </c>
    </row>
    <row r="25" spans="1:2" x14ac:dyDescent="0.3">
      <c r="A25" s="73"/>
      <c r="B25" s="307" t="s">
        <v>4235</v>
      </c>
    </row>
    <row r="26" spans="1:2" x14ac:dyDescent="0.3">
      <c r="A26" s="73"/>
      <c r="B26" s="307" t="s">
        <v>4236</v>
      </c>
    </row>
    <row r="27" spans="1:2" x14ac:dyDescent="0.3">
      <c r="A27" s="73"/>
      <c r="B27" s="307" t="s">
        <v>4237</v>
      </c>
    </row>
    <row r="28" spans="1:2" x14ac:dyDescent="0.3">
      <c r="A28" s="73"/>
      <c r="B28" s="307" t="s">
        <v>4238</v>
      </c>
    </row>
    <row r="29" spans="1:2" x14ac:dyDescent="0.3">
      <c r="A29" s="73"/>
      <c r="B29" s="307" t="s">
        <v>4239</v>
      </c>
    </row>
    <row r="30" spans="1:2" x14ac:dyDescent="0.3">
      <c r="A30" s="73"/>
      <c r="B30" s="107" t="s">
        <v>4223</v>
      </c>
    </row>
    <row r="31" spans="1:2" x14ac:dyDescent="0.3">
      <c r="A31" s="122"/>
      <c r="B31" s="107" t="s">
        <v>4224</v>
      </c>
    </row>
    <row r="32" spans="1:2" x14ac:dyDescent="0.3">
      <c r="A32" s="73"/>
      <c r="B32" s="107" t="s">
        <v>4225</v>
      </c>
    </row>
    <row r="33" spans="1:4" x14ac:dyDescent="0.3">
      <c r="A33" s="109"/>
      <c r="B33" s="107" t="s">
        <v>4226</v>
      </c>
    </row>
    <row r="34" spans="1:4" x14ac:dyDescent="0.3">
      <c r="A34" s="73"/>
      <c r="B34" s="107" t="s">
        <v>4227</v>
      </c>
    </row>
    <row r="35" spans="1:4" x14ac:dyDescent="0.3">
      <c r="A35" s="116"/>
      <c r="B35" s="107" t="s">
        <v>4228</v>
      </c>
    </row>
    <row r="36" spans="1:4" x14ac:dyDescent="0.3">
      <c r="A36" s="116"/>
      <c r="B36" s="107" t="s">
        <v>4229</v>
      </c>
      <c r="D36" s="153"/>
    </row>
    <row r="37" spans="1:4" x14ac:dyDescent="0.3">
      <c r="A37" s="116"/>
      <c r="B37" s="107" t="s">
        <v>4230</v>
      </c>
    </row>
    <row r="38" spans="1:4" x14ac:dyDescent="0.3">
      <c r="A38" s="116"/>
      <c r="B38" s="107" t="s">
        <v>4231</v>
      </c>
      <c r="D38" s="153"/>
    </row>
    <row r="39" spans="1:4" x14ac:dyDescent="0.3">
      <c r="B39" s="107" t="s">
        <v>4081</v>
      </c>
    </row>
    <row r="40" spans="1:4" x14ac:dyDescent="0.3">
      <c r="B40" s="127"/>
    </row>
    <row r="41" spans="1:4" ht="14.5" thickBot="1" x14ac:dyDescent="0.35">
      <c r="B41" s="125" t="s">
        <v>4232</v>
      </c>
    </row>
    <row r="42" spans="1:4" x14ac:dyDescent="0.3">
      <c r="B42" s="128"/>
    </row>
    <row r="43" spans="1:4" x14ac:dyDescent="0.3">
      <c r="B43" s="118" t="s">
        <v>4233</v>
      </c>
    </row>
    <row r="46" spans="1:4" ht="56" x14ac:dyDescent="0.3">
      <c r="A46" s="315">
        <v>20</v>
      </c>
      <c r="B46" s="316" t="s">
        <v>4240</v>
      </c>
    </row>
    <row r="47" spans="1:4" ht="42" x14ac:dyDescent="0.3">
      <c r="A47" s="315">
        <v>21</v>
      </c>
      <c r="B47" s="316" t="s">
        <v>4241</v>
      </c>
    </row>
    <row r="48" spans="1:4" ht="56" x14ac:dyDescent="0.3">
      <c r="A48" s="315">
        <v>22</v>
      </c>
      <c r="B48" s="316" t="s">
        <v>4242</v>
      </c>
    </row>
    <row r="49" spans="1:2" ht="56" x14ac:dyDescent="0.3">
      <c r="A49" s="315">
        <v>23</v>
      </c>
      <c r="B49" s="316" t="s">
        <v>4243</v>
      </c>
    </row>
  </sheetData>
  <sheetProtection formatCells="0" formatColumns="0" formatRows="0" insertHyperlinks="0" autoFilter="0"/>
  <pageMargins left="0.7" right="0.7" top="0.75" bottom="0.75" header="0.3" footer="0.3"/>
  <pageSetup orientation="portrait" horizontalDpi="90" verticalDpi="90" r:id="rId1"/>
  <headerFooter>
    <oddFooter>&amp;C&amp;1#&amp;"Calibri"&amp;10&amp;K000000Uso Interno</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3BD6A-A6CA-4DEA-ACBA-D06706173421}">
  <sheetPr codeName="Hoja08">
    <tabColor rgb="FF002060"/>
  </sheetPr>
  <dimension ref="A1:H23"/>
  <sheetViews>
    <sheetView showGridLines="0" zoomScale="70" zoomScaleNormal="70" workbookViewId="0">
      <pane xSplit="1" ySplit="5" topLeftCell="B19" activePane="bottomRight" state="frozen"/>
      <selection pane="topRight" activeCell="B1" sqref="B1"/>
      <selection pane="bottomLeft" activeCell="A6" sqref="A6"/>
      <selection pane="bottomRight" activeCell="G20" sqref="G20"/>
    </sheetView>
  </sheetViews>
  <sheetFormatPr baseColWidth="10" defaultColWidth="11.453125" defaultRowHeight="14" x14ac:dyDescent="0.35"/>
  <cols>
    <col min="1" max="1" width="21.54296875" style="107" customWidth="1"/>
    <col min="2" max="2" width="32.453125" style="107" customWidth="1"/>
    <col min="3" max="6" width="16.54296875" style="108" customWidth="1"/>
    <col min="7" max="7" width="118.453125" style="119" customWidth="1"/>
    <col min="8" max="8" width="20.54296875" style="107" customWidth="1"/>
    <col min="9" max="9" width="21.54296875" style="11" customWidth="1"/>
    <col min="10" max="16384" width="11.453125" style="11"/>
  </cols>
  <sheetData>
    <row r="1" spans="1:8" x14ac:dyDescent="0.35">
      <c r="A1" s="106"/>
    </row>
    <row r="2" spans="1:8" x14ac:dyDescent="0.35">
      <c r="A2" s="106"/>
    </row>
    <row r="3" spans="1:8" ht="25.5" thickBot="1" x14ac:dyDescent="0.4">
      <c r="B3" s="406" t="s">
        <v>4244</v>
      </c>
      <c r="C3" s="406"/>
      <c r="D3" s="406"/>
      <c r="E3" s="406"/>
      <c r="F3" s="406"/>
      <c r="G3" s="406"/>
      <c r="H3" s="406"/>
    </row>
    <row r="4" spans="1:8" ht="14.5" thickTop="1" x14ac:dyDescent="0.35"/>
    <row r="5" spans="1:8" ht="28" x14ac:dyDescent="0.35">
      <c r="B5" s="258" t="s">
        <v>4015</v>
      </c>
      <c r="C5" s="258" t="s">
        <v>3942</v>
      </c>
      <c r="D5" s="258" t="s">
        <v>3943</v>
      </c>
      <c r="E5" s="258" t="s">
        <v>3944</v>
      </c>
      <c r="F5" s="258" t="s">
        <v>3945</v>
      </c>
      <c r="G5" s="258" t="s">
        <v>3946</v>
      </c>
      <c r="H5" s="265" t="s">
        <v>3947</v>
      </c>
    </row>
    <row r="6" spans="1:8" ht="70" x14ac:dyDescent="0.35">
      <c r="B6" s="113" t="s">
        <v>4085</v>
      </c>
      <c r="C6" s="110"/>
      <c r="D6" s="110"/>
      <c r="E6" s="110"/>
      <c r="F6" s="110"/>
      <c r="G6" s="109" t="s">
        <v>4086</v>
      </c>
      <c r="H6" s="120"/>
    </row>
    <row r="7" spans="1:8" ht="298" x14ac:dyDescent="0.35">
      <c r="B7" s="113" t="s">
        <v>4245</v>
      </c>
      <c r="C7" s="110" t="s">
        <v>3967</v>
      </c>
      <c r="D7" s="110" t="s">
        <v>4019</v>
      </c>
      <c r="E7" s="110" t="s">
        <v>3951</v>
      </c>
      <c r="F7" s="110" t="s">
        <v>3952</v>
      </c>
      <c r="G7" s="109" t="s">
        <v>4246</v>
      </c>
      <c r="H7" s="120"/>
    </row>
    <row r="8" spans="1:8" ht="70" x14ac:dyDescent="0.35">
      <c r="B8" s="115" t="s">
        <v>4247</v>
      </c>
      <c r="C8" s="110" t="s">
        <v>3949</v>
      </c>
      <c r="D8" s="110" t="s">
        <v>4022</v>
      </c>
      <c r="E8" s="110" t="s">
        <v>3951</v>
      </c>
      <c r="F8" s="110" t="s">
        <v>3952</v>
      </c>
      <c r="G8" s="109" t="s">
        <v>4248</v>
      </c>
      <c r="H8" s="308" t="s">
        <v>315</v>
      </c>
    </row>
    <row r="9" spans="1:8" ht="70" x14ac:dyDescent="0.35">
      <c r="B9" s="115" t="s">
        <v>4249</v>
      </c>
      <c r="C9" s="110" t="s">
        <v>3949</v>
      </c>
      <c r="D9" s="110" t="s">
        <v>4250</v>
      </c>
      <c r="E9" s="110" t="s">
        <v>3951</v>
      </c>
      <c r="F9" s="110" t="s">
        <v>3952</v>
      </c>
      <c r="G9" s="109" t="s">
        <v>4251</v>
      </c>
      <c r="H9" s="120"/>
    </row>
    <row r="10" spans="1:8" ht="112" x14ac:dyDescent="0.35">
      <c r="B10" s="115" t="s">
        <v>4252</v>
      </c>
      <c r="C10" s="110" t="s">
        <v>3949</v>
      </c>
      <c r="D10" s="110" t="s">
        <v>4250</v>
      </c>
      <c r="E10" s="110" t="s">
        <v>3951</v>
      </c>
      <c r="F10" s="110" t="s">
        <v>3952</v>
      </c>
      <c r="G10" s="109" t="s">
        <v>4253</v>
      </c>
      <c r="H10" s="120"/>
    </row>
    <row r="11" spans="1:8" ht="98" x14ac:dyDescent="0.35">
      <c r="B11" s="115" t="s">
        <v>4254</v>
      </c>
      <c r="C11" s="110" t="s">
        <v>1</v>
      </c>
      <c r="D11" s="110" t="s">
        <v>3964</v>
      </c>
      <c r="E11" s="110" t="s">
        <v>3951</v>
      </c>
      <c r="F11" s="110" t="s">
        <v>3952</v>
      </c>
      <c r="G11" s="109" t="s">
        <v>4255</v>
      </c>
      <c r="H11" s="120"/>
    </row>
    <row r="12" spans="1:8" ht="70" x14ac:dyDescent="0.35">
      <c r="B12" s="115" t="s">
        <v>4256</v>
      </c>
      <c r="C12" s="110" t="s">
        <v>1</v>
      </c>
      <c r="D12" s="110" t="s">
        <v>3964</v>
      </c>
      <c r="E12" s="110" t="s">
        <v>3951</v>
      </c>
      <c r="F12" s="110" t="s">
        <v>3952</v>
      </c>
      <c r="G12" s="109" t="s">
        <v>4257</v>
      </c>
      <c r="H12" s="120"/>
    </row>
    <row r="13" spans="1:8" ht="70" x14ac:dyDescent="0.35">
      <c r="B13" s="115" t="s">
        <v>4258</v>
      </c>
      <c r="C13" s="110" t="s">
        <v>3949</v>
      </c>
      <c r="D13" s="110" t="s">
        <v>4259</v>
      </c>
      <c r="E13" s="110" t="s">
        <v>3951</v>
      </c>
      <c r="F13" s="110" t="s">
        <v>3952</v>
      </c>
      <c r="G13" s="109" t="s">
        <v>4260</v>
      </c>
      <c r="H13" s="308" t="s">
        <v>4103</v>
      </c>
    </row>
    <row r="14" spans="1:8" ht="70" x14ac:dyDescent="0.35">
      <c r="B14" s="115" t="s">
        <v>4261</v>
      </c>
      <c r="C14" s="110" t="s">
        <v>1</v>
      </c>
      <c r="D14" s="110" t="s">
        <v>3964</v>
      </c>
      <c r="E14" s="110" t="s">
        <v>3951</v>
      </c>
      <c r="F14" s="110" t="s">
        <v>4093</v>
      </c>
      <c r="G14" s="109" t="s">
        <v>4262</v>
      </c>
      <c r="H14" s="120"/>
    </row>
    <row r="15" spans="1:8" ht="70" x14ac:dyDescent="0.35">
      <c r="B15" s="115" t="s">
        <v>4263</v>
      </c>
      <c r="C15" s="110" t="s">
        <v>3949</v>
      </c>
      <c r="D15" s="130" t="s">
        <v>3971</v>
      </c>
      <c r="E15" s="110" t="s">
        <v>3951</v>
      </c>
      <c r="F15" s="110" t="s">
        <v>3952</v>
      </c>
      <c r="G15" s="109" t="s">
        <v>4264</v>
      </c>
      <c r="H15" s="308" t="s">
        <v>4096</v>
      </c>
    </row>
    <row r="16" spans="1:8" ht="42" x14ac:dyDescent="0.35">
      <c r="B16" s="149" t="s">
        <v>4265</v>
      </c>
      <c r="C16" s="110" t="s">
        <v>3967</v>
      </c>
      <c r="D16" s="110" t="s">
        <v>4038</v>
      </c>
      <c r="E16" s="110" t="s">
        <v>3951</v>
      </c>
      <c r="F16" s="110" t="s">
        <v>3952</v>
      </c>
      <c r="G16" s="109" t="s">
        <v>4266</v>
      </c>
      <c r="H16" s="120"/>
    </row>
    <row r="17" spans="2:8" ht="70" x14ac:dyDescent="0.35">
      <c r="B17" s="115" t="s">
        <v>4267</v>
      </c>
      <c r="C17" s="110" t="s">
        <v>3949</v>
      </c>
      <c r="D17" s="130" t="s">
        <v>3971</v>
      </c>
      <c r="E17" s="110" t="s">
        <v>3951</v>
      </c>
      <c r="F17" s="110" t="s">
        <v>4093</v>
      </c>
      <c r="G17" s="109" t="s">
        <v>4268</v>
      </c>
      <c r="H17" s="308" t="s">
        <v>4096</v>
      </c>
    </row>
    <row r="18" spans="2:8" ht="42" x14ac:dyDescent="0.35">
      <c r="B18" s="112" t="s">
        <v>4269</v>
      </c>
      <c r="C18" s="110" t="s">
        <v>3967</v>
      </c>
      <c r="D18" s="110" t="s">
        <v>4038</v>
      </c>
      <c r="E18" s="110" t="s">
        <v>3951</v>
      </c>
      <c r="F18" s="110" t="s">
        <v>4093</v>
      </c>
      <c r="G18" s="109" t="s">
        <v>4270</v>
      </c>
      <c r="H18" s="120"/>
    </row>
    <row r="19" spans="2:8" ht="70" x14ac:dyDescent="0.35">
      <c r="B19" s="148" t="s">
        <v>4271</v>
      </c>
      <c r="C19" s="110" t="s">
        <v>3967</v>
      </c>
      <c r="D19" s="110">
        <v>1</v>
      </c>
      <c r="E19" s="110" t="s">
        <v>3951</v>
      </c>
      <c r="F19" s="110" t="s">
        <v>3952</v>
      </c>
      <c r="G19" s="109" t="s">
        <v>4272</v>
      </c>
      <c r="H19" s="120"/>
    </row>
    <row r="20" spans="2:8" ht="98" x14ac:dyDescent="0.35">
      <c r="B20" s="148" t="s">
        <v>4273</v>
      </c>
      <c r="C20" s="120" t="s">
        <v>3949</v>
      </c>
      <c r="D20" s="120" t="s">
        <v>3971</v>
      </c>
      <c r="E20" s="120" t="s">
        <v>3951</v>
      </c>
      <c r="F20" s="120" t="s">
        <v>3952</v>
      </c>
      <c r="G20" s="101" t="s">
        <v>4274</v>
      </c>
      <c r="H20" s="308" t="s">
        <v>4275</v>
      </c>
    </row>
    <row r="21" spans="2:8" ht="98.25" customHeight="1" x14ac:dyDescent="0.35">
      <c r="B21" s="148" t="s">
        <v>4276</v>
      </c>
      <c r="C21" s="120" t="s">
        <v>3949</v>
      </c>
      <c r="D21" s="120" t="s">
        <v>4277</v>
      </c>
      <c r="E21" s="120" t="s">
        <v>3951</v>
      </c>
      <c r="F21" s="120" t="s">
        <v>3952</v>
      </c>
      <c r="G21" s="101" t="s">
        <v>4278</v>
      </c>
      <c r="H21" s="308" t="s">
        <v>4275</v>
      </c>
    </row>
    <row r="22" spans="2:8" ht="110" x14ac:dyDescent="0.35">
      <c r="B22" s="148" t="s">
        <v>4279</v>
      </c>
      <c r="C22" s="120" t="s">
        <v>3949</v>
      </c>
      <c r="D22" s="120" t="s">
        <v>4280</v>
      </c>
      <c r="E22" s="120" t="s">
        <v>3951</v>
      </c>
      <c r="F22" s="120" t="s">
        <v>3952</v>
      </c>
      <c r="G22" s="101" t="s">
        <v>4433</v>
      </c>
      <c r="H22" s="120"/>
    </row>
    <row r="23" spans="2:8" ht="126" x14ac:dyDescent="0.35">
      <c r="B23" s="148" t="s">
        <v>4281</v>
      </c>
      <c r="C23" s="120" t="s">
        <v>3949</v>
      </c>
      <c r="D23" s="120" t="s">
        <v>4277</v>
      </c>
      <c r="E23" s="120" t="s">
        <v>3951</v>
      </c>
      <c r="F23" s="120" t="s">
        <v>3952</v>
      </c>
      <c r="G23" s="101" t="s">
        <v>4282</v>
      </c>
      <c r="H23" s="308" t="s">
        <v>4275</v>
      </c>
    </row>
  </sheetData>
  <sheetProtection algorithmName="SHA-512" hashValue="lBy6pWuxm2zXNpd7Qmf4RTkR/klqDhGAXIo1nx4mjhNIADOxyEcTdDNGFwxlyyWRi7t5RiMNplpIrI7asP2gBg==" saltValue="D27/+d/2RGxFcXKWATyPBA==" spinCount="100000" sheet="1" formatCells="0" formatColumns="0" formatRows="0" insertHyperlinks="0" autoFilter="0"/>
  <mergeCells count="1">
    <mergeCell ref="B3:H3"/>
  </mergeCell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1A61D-B84D-4FD6-9624-D40CDFD0A206}">
  <sheetPr codeName="Hoja30">
    <tabColor rgb="FFFFFF00"/>
  </sheetPr>
  <dimension ref="A1:H29"/>
  <sheetViews>
    <sheetView showGridLines="0" zoomScale="70" zoomScaleNormal="70" workbookViewId="0">
      <pane xSplit="1" ySplit="5" topLeftCell="B15" activePane="bottomRight" state="frozen"/>
      <selection pane="topRight" activeCell="B1" sqref="B1"/>
      <selection pane="bottomLeft" activeCell="A6" sqref="A6"/>
      <selection pane="bottomRight" activeCell="G18" sqref="G18"/>
    </sheetView>
  </sheetViews>
  <sheetFormatPr baseColWidth="10" defaultColWidth="11.453125" defaultRowHeight="14" x14ac:dyDescent="0.35"/>
  <cols>
    <col min="1" max="1" width="21.54296875" style="107" customWidth="1"/>
    <col min="2" max="2" width="32.453125" style="107" customWidth="1"/>
    <col min="3" max="6" width="16.54296875" style="108" customWidth="1"/>
    <col min="7" max="7" width="118.453125" style="119" customWidth="1"/>
    <col min="8" max="8" width="20.54296875" style="107" customWidth="1"/>
    <col min="9" max="9" width="21.54296875" style="11" customWidth="1"/>
    <col min="10" max="16384" width="11.453125" style="11"/>
  </cols>
  <sheetData>
    <row r="1" spans="1:8" x14ac:dyDescent="0.35">
      <c r="A1" s="106"/>
    </row>
    <row r="2" spans="1:8" x14ac:dyDescent="0.35">
      <c r="A2" s="106"/>
    </row>
    <row r="3" spans="1:8" ht="25.5" thickBot="1" x14ac:dyDescent="0.4">
      <c r="B3" s="406" t="s">
        <v>4244</v>
      </c>
      <c r="C3" s="406"/>
      <c r="D3" s="406"/>
      <c r="E3" s="406"/>
      <c r="F3" s="406"/>
      <c r="G3" s="406"/>
      <c r="H3" s="406"/>
    </row>
    <row r="4" spans="1:8" ht="14.5" thickTop="1" x14ac:dyDescent="0.35"/>
    <row r="5" spans="1:8" ht="28" x14ac:dyDescent="0.35">
      <c r="B5" s="258" t="s">
        <v>4015</v>
      </c>
      <c r="C5" s="258" t="s">
        <v>3942</v>
      </c>
      <c r="D5" s="258" t="s">
        <v>3943</v>
      </c>
      <c r="E5" s="258" t="s">
        <v>3944</v>
      </c>
      <c r="F5" s="258" t="s">
        <v>3945</v>
      </c>
      <c r="G5" s="258" t="s">
        <v>3946</v>
      </c>
      <c r="H5" s="265" t="s">
        <v>3947</v>
      </c>
    </row>
    <row r="6" spans="1:8" ht="70" x14ac:dyDescent="0.35">
      <c r="B6" s="113" t="s">
        <v>4085</v>
      </c>
      <c r="C6" s="110"/>
      <c r="D6" s="110"/>
      <c r="E6" s="110"/>
      <c r="F6" s="110"/>
      <c r="G6" s="109" t="s">
        <v>4086</v>
      </c>
      <c r="H6" s="120"/>
    </row>
    <row r="7" spans="1:8" ht="298" x14ac:dyDescent="0.35">
      <c r="B7" s="113" t="s">
        <v>4245</v>
      </c>
      <c r="C7" s="110" t="s">
        <v>3967</v>
      </c>
      <c r="D7" s="110" t="s">
        <v>4019</v>
      </c>
      <c r="E7" s="110" t="s">
        <v>3951</v>
      </c>
      <c r="F7" s="110" t="s">
        <v>3952</v>
      </c>
      <c r="G7" s="109" t="s">
        <v>4246</v>
      </c>
      <c r="H7" s="120"/>
    </row>
    <row r="8" spans="1:8" ht="70" x14ac:dyDescent="0.35">
      <c r="B8" s="115" t="s">
        <v>4247</v>
      </c>
      <c r="C8" s="110" t="s">
        <v>3949</v>
      </c>
      <c r="D8" s="110" t="s">
        <v>4022</v>
      </c>
      <c r="E8" s="110" t="s">
        <v>3951</v>
      </c>
      <c r="F8" s="110" t="s">
        <v>3952</v>
      </c>
      <c r="G8" s="109" t="s">
        <v>4248</v>
      </c>
      <c r="H8" s="308" t="s">
        <v>315</v>
      </c>
    </row>
    <row r="9" spans="1:8" ht="70" x14ac:dyDescent="0.35">
      <c r="B9" s="115" t="s">
        <v>4249</v>
      </c>
      <c r="C9" s="110" t="s">
        <v>3949</v>
      </c>
      <c r="D9" s="110" t="s">
        <v>4250</v>
      </c>
      <c r="E9" s="110" t="s">
        <v>3951</v>
      </c>
      <c r="F9" s="110" t="s">
        <v>3952</v>
      </c>
      <c r="G9" s="109" t="s">
        <v>4251</v>
      </c>
      <c r="H9" s="120"/>
    </row>
    <row r="10" spans="1:8" ht="112" x14ac:dyDescent="0.35">
      <c r="B10" s="115" t="s">
        <v>4252</v>
      </c>
      <c r="C10" s="110" t="s">
        <v>3949</v>
      </c>
      <c r="D10" s="110" t="s">
        <v>4250</v>
      </c>
      <c r="E10" s="110" t="s">
        <v>3951</v>
      </c>
      <c r="F10" s="110" t="s">
        <v>3952</v>
      </c>
      <c r="G10" s="109" t="s">
        <v>4253</v>
      </c>
      <c r="H10" s="120"/>
    </row>
    <row r="11" spans="1:8" ht="98" x14ac:dyDescent="0.35">
      <c r="B11" s="115" t="s">
        <v>4254</v>
      </c>
      <c r="C11" s="110" t="s">
        <v>1</v>
      </c>
      <c r="D11" s="110" t="s">
        <v>3964</v>
      </c>
      <c r="E11" s="110" t="s">
        <v>3951</v>
      </c>
      <c r="F11" s="110" t="s">
        <v>3952</v>
      </c>
      <c r="G11" s="109" t="s">
        <v>4255</v>
      </c>
      <c r="H11" s="120"/>
    </row>
    <row r="12" spans="1:8" ht="70" x14ac:dyDescent="0.35">
      <c r="B12" s="115" t="s">
        <v>4256</v>
      </c>
      <c r="C12" s="110" t="s">
        <v>1</v>
      </c>
      <c r="D12" s="110" t="s">
        <v>3964</v>
      </c>
      <c r="E12" s="110" t="s">
        <v>3951</v>
      </c>
      <c r="F12" s="110" t="s">
        <v>3952</v>
      </c>
      <c r="G12" s="109" t="s">
        <v>4257</v>
      </c>
      <c r="H12" s="120"/>
    </row>
    <row r="13" spans="1:8" ht="70" x14ac:dyDescent="0.35">
      <c r="B13" s="115" t="s">
        <v>4258</v>
      </c>
      <c r="C13" s="110" t="s">
        <v>3949</v>
      </c>
      <c r="D13" s="110" t="s">
        <v>4259</v>
      </c>
      <c r="E13" s="110" t="s">
        <v>3951</v>
      </c>
      <c r="F13" s="110" t="s">
        <v>3952</v>
      </c>
      <c r="G13" s="109" t="s">
        <v>4260</v>
      </c>
      <c r="H13" s="308" t="s">
        <v>4103</v>
      </c>
    </row>
    <row r="14" spans="1:8" ht="70" x14ac:dyDescent="0.35">
      <c r="B14" s="115" t="s">
        <v>4261</v>
      </c>
      <c r="C14" s="110" t="s">
        <v>1</v>
      </c>
      <c r="D14" s="110" t="s">
        <v>3964</v>
      </c>
      <c r="E14" s="110" t="s">
        <v>3951</v>
      </c>
      <c r="F14" s="110" t="s">
        <v>4093</v>
      </c>
      <c r="G14" s="109" t="s">
        <v>4262</v>
      </c>
      <c r="H14" s="120"/>
    </row>
    <row r="15" spans="1:8" ht="70" x14ac:dyDescent="0.35">
      <c r="B15" s="310" t="s">
        <v>4234</v>
      </c>
      <c r="C15" s="310" t="s">
        <v>3967</v>
      </c>
      <c r="D15" s="310" t="s">
        <v>4283</v>
      </c>
      <c r="E15" s="310" t="s">
        <v>3951</v>
      </c>
      <c r="F15" s="310" t="s">
        <v>3952</v>
      </c>
      <c r="G15" s="311" t="s">
        <v>4284</v>
      </c>
      <c r="H15" s="120"/>
    </row>
    <row r="16" spans="1:8" ht="70" x14ac:dyDescent="0.35">
      <c r="B16" s="310" t="s">
        <v>4235</v>
      </c>
      <c r="C16" s="310" t="s">
        <v>3949</v>
      </c>
      <c r="D16" s="310" t="s">
        <v>4111</v>
      </c>
      <c r="E16" s="310" t="s">
        <v>3951</v>
      </c>
      <c r="F16" s="310" t="s">
        <v>4093</v>
      </c>
      <c r="G16" s="312" t="s">
        <v>4285</v>
      </c>
      <c r="H16" s="120"/>
    </row>
    <row r="17" spans="2:8" ht="70" x14ac:dyDescent="0.35">
      <c r="B17" s="310" t="s">
        <v>4236</v>
      </c>
      <c r="C17" s="310" t="s">
        <v>3949</v>
      </c>
      <c r="D17" s="310" t="s">
        <v>4111</v>
      </c>
      <c r="E17" s="310" t="s">
        <v>3951</v>
      </c>
      <c r="F17" s="310" t="s">
        <v>4093</v>
      </c>
      <c r="G17" s="312" t="s">
        <v>4286</v>
      </c>
      <c r="H17" s="120"/>
    </row>
    <row r="18" spans="2:8" ht="84" x14ac:dyDescent="0.35">
      <c r="B18" s="310" t="s">
        <v>4237</v>
      </c>
      <c r="C18" s="310" t="s">
        <v>3949</v>
      </c>
      <c r="D18" s="310" t="s">
        <v>4283</v>
      </c>
      <c r="E18" s="310" t="s">
        <v>3951</v>
      </c>
      <c r="F18" s="310" t="s">
        <v>4093</v>
      </c>
      <c r="G18" s="312" t="s">
        <v>4287</v>
      </c>
      <c r="H18" s="120"/>
    </row>
    <row r="19" spans="2:8" ht="41.5" customHeight="1" x14ac:dyDescent="0.35">
      <c r="B19" s="313" t="s">
        <v>4288</v>
      </c>
      <c r="C19" s="313" t="s">
        <v>3967</v>
      </c>
      <c r="D19" s="313">
        <v>7</v>
      </c>
      <c r="E19" s="313" t="s">
        <v>3951</v>
      </c>
      <c r="F19" s="313" t="s">
        <v>4093</v>
      </c>
      <c r="G19" s="314" t="s">
        <v>4289</v>
      </c>
      <c r="H19" s="120"/>
    </row>
    <row r="20" spans="2:8" ht="46.4" customHeight="1" x14ac:dyDescent="0.35">
      <c r="B20" s="313" t="s">
        <v>4290</v>
      </c>
      <c r="C20" s="313" t="s">
        <v>3967</v>
      </c>
      <c r="D20" s="313">
        <v>7</v>
      </c>
      <c r="E20" s="313" t="s">
        <v>3951</v>
      </c>
      <c r="F20" s="313" t="s">
        <v>4093</v>
      </c>
      <c r="G20" s="314" t="s">
        <v>4291</v>
      </c>
      <c r="H20" s="120"/>
    </row>
    <row r="21" spans="2:8" ht="70" x14ac:dyDescent="0.35">
      <c r="B21" s="115" t="s">
        <v>4263</v>
      </c>
      <c r="C21" s="110" t="s">
        <v>3949</v>
      </c>
      <c r="D21" s="130" t="s">
        <v>3971</v>
      </c>
      <c r="E21" s="110" t="s">
        <v>3951</v>
      </c>
      <c r="F21" s="110" t="s">
        <v>3952</v>
      </c>
      <c r="G21" s="109" t="s">
        <v>4264</v>
      </c>
      <c r="H21" s="308" t="s">
        <v>4096</v>
      </c>
    </row>
    <row r="22" spans="2:8" ht="42" x14ac:dyDescent="0.35">
      <c r="B22" s="149" t="s">
        <v>4265</v>
      </c>
      <c r="C22" s="110" t="s">
        <v>3967</v>
      </c>
      <c r="D22" s="110" t="s">
        <v>4038</v>
      </c>
      <c r="E22" s="110" t="s">
        <v>3951</v>
      </c>
      <c r="F22" s="110" t="s">
        <v>3952</v>
      </c>
      <c r="G22" s="109" t="s">
        <v>4266</v>
      </c>
      <c r="H22" s="120"/>
    </row>
    <row r="23" spans="2:8" ht="70" x14ac:dyDescent="0.35">
      <c r="B23" s="115" t="s">
        <v>4267</v>
      </c>
      <c r="C23" s="110" t="s">
        <v>3949</v>
      </c>
      <c r="D23" s="130" t="s">
        <v>3971</v>
      </c>
      <c r="E23" s="110" t="s">
        <v>3951</v>
      </c>
      <c r="F23" s="110" t="s">
        <v>4093</v>
      </c>
      <c r="G23" s="109" t="s">
        <v>4268</v>
      </c>
      <c r="H23" s="308" t="s">
        <v>4096</v>
      </c>
    </row>
    <row r="24" spans="2:8" ht="42" x14ac:dyDescent="0.35">
      <c r="B24" s="112" t="s">
        <v>4269</v>
      </c>
      <c r="C24" s="110" t="s">
        <v>3967</v>
      </c>
      <c r="D24" s="110" t="s">
        <v>4038</v>
      </c>
      <c r="E24" s="110" t="s">
        <v>3951</v>
      </c>
      <c r="F24" s="110" t="s">
        <v>4093</v>
      </c>
      <c r="G24" s="109" t="s">
        <v>4270</v>
      </c>
      <c r="H24" s="120"/>
    </row>
    <row r="25" spans="2:8" ht="70" x14ac:dyDescent="0.35">
      <c r="B25" s="148" t="s">
        <v>4271</v>
      </c>
      <c r="C25" s="110" t="s">
        <v>3967</v>
      </c>
      <c r="D25" s="110">
        <v>1</v>
      </c>
      <c r="E25" s="110" t="s">
        <v>3951</v>
      </c>
      <c r="F25" s="110" t="s">
        <v>3952</v>
      </c>
      <c r="G25" s="109" t="s">
        <v>4272</v>
      </c>
      <c r="H25" s="120"/>
    </row>
    <row r="26" spans="2:8" ht="98" x14ac:dyDescent="0.35">
      <c r="B26" s="148" t="s">
        <v>4273</v>
      </c>
      <c r="C26" s="120" t="s">
        <v>3949</v>
      </c>
      <c r="D26" s="120" t="s">
        <v>3971</v>
      </c>
      <c r="E26" s="120" t="s">
        <v>3951</v>
      </c>
      <c r="F26" s="120" t="s">
        <v>3952</v>
      </c>
      <c r="G26" s="101" t="s">
        <v>4274</v>
      </c>
      <c r="H26" s="308" t="s">
        <v>4275</v>
      </c>
    </row>
    <row r="27" spans="2:8" ht="98.25" customHeight="1" x14ac:dyDescent="0.35">
      <c r="B27" s="148" t="s">
        <v>4276</v>
      </c>
      <c r="C27" s="120" t="s">
        <v>3949</v>
      </c>
      <c r="D27" s="120" t="s">
        <v>4277</v>
      </c>
      <c r="E27" s="120" t="s">
        <v>3951</v>
      </c>
      <c r="F27" s="120" t="s">
        <v>3952</v>
      </c>
      <c r="G27" s="101" t="s">
        <v>4278</v>
      </c>
      <c r="H27" s="308" t="s">
        <v>4275</v>
      </c>
    </row>
    <row r="28" spans="2:8" ht="96" x14ac:dyDescent="0.35">
      <c r="B28" s="148" t="s">
        <v>4279</v>
      </c>
      <c r="C28" s="120" t="s">
        <v>3949</v>
      </c>
      <c r="D28" s="120" t="s">
        <v>4280</v>
      </c>
      <c r="E28" s="120" t="s">
        <v>3951</v>
      </c>
      <c r="F28" s="120" t="s">
        <v>3952</v>
      </c>
      <c r="G28" s="101" t="s">
        <v>4292</v>
      </c>
      <c r="H28" s="120"/>
    </row>
    <row r="29" spans="2:8" ht="126" x14ac:dyDescent="0.35">
      <c r="B29" s="148" t="s">
        <v>4281</v>
      </c>
      <c r="C29" s="120" t="s">
        <v>3949</v>
      </c>
      <c r="D29" s="120" t="s">
        <v>4277</v>
      </c>
      <c r="E29" s="120" t="s">
        <v>3951</v>
      </c>
      <c r="F29" s="120" t="s">
        <v>3952</v>
      </c>
      <c r="G29" s="101" t="s">
        <v>4282</v>
      </c>
      <c r="H29" s="308" t="s">
        <v>4275</v>
      </c>
    </row>
  </sheetData>
  <sheetProtection formatCells="0" formatColumns="0" formatRows="0" insertHyperlinks="0" autoFilter="0"/>
  <mergeCells count="1">
    <mergeCell ref="B3:H3"/>
  </mergeCell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F2028-E305-4CAC-B041-CA3E5E4B7708}">
  <sheetPr codeName="Hoja09">
    <tabColor rgb="FF002060"/>
  </sheetPr>
  <dimension ref="A3:H29"/>
  <sheetViews>
    <sheetView showGridLines="0" topLeftCell="A5" zoomScale="84" zoomScaleNormal="84" workbookViewId="0">
      <selection activeCell="D9" sqref="D9"/>
    </sheetView>
  </sheetViews>
  <sheetFormatPr baseColWidth="10" defaultColWidth="11.453125" defaultRowHeight="14" x14ac:dyDescent="0.35"/>
  <cols>
    <col min="1" max="1" width="24.26953125" style="11" customWidth="1"/>
    <col min="2" max="2" width="21.453125" style="11" customWidth="1"/>
    <col min="3" max="3" width="15.453125" style="107" customWidth="1"/>
    <col min="4" max="4" width="120.54296875" style="107" customWidth="1"/>
    <col min="5" max="6" width="10.54296875" style="107" customWidth="1"/>
    <col min="7" max="7" width="11.453125" style="11"/>
    <col min="8" max="8" width="36.453125" style="11" customWidth="1"/>
    <col min="9" max="16384" width="11.453125" style="11"/>
  </cols>
  <sheetData>
    <row r="3" spans="1:8" ht="25.5" thickBot="1" x14ac:dyDescent="0.4">
      <c r="C3" s="406" t="s">
        <v>4293</v>
      </c>
      <c r="D3" s="406"/>
      <c r="E3" s="406"/>
      <c r="F3" s="406"/>
    </row>
    <row r="4" spans="1:8" ht="14.5" thickTop="1" x14ac:dyDescent="0.35"/>
    <row r="5" spans="1:8" ht="28" x14ac:dyDescent="0.35">
      <c r="A5" s="363" t="s">
        <v>4041</v>
      </c>
      <c r="B5" s="363" t="s">
        <v>4042</v>
      </c>
      <c r="C5" s="256" t="s">
        <v>4120</v>
      </c>
      <c r="D5" s="262" t="s">
        <v>4044</v>
      </c>
      <c r="E5" s="256" t="s">
        <v>4121</v>
      </c>
      <c r="F5" s="256" t="s">
        <v>4046</v>
      </c>
    </row>
    <row r="6" spans="1:8" ht="56" x14ac:dyDescent="0.35">
      <c r="A6" s="242">
        <v>1</v>
      </c>
      <c r="B6" s="242"/>
      <c r="C6" s="214">
        <v>1</v>
      </c>
      <c r="D6" s="215" t="s">
        <v>4294</v>
      </c>
      <c r="E6" s="245">
        <v>2</v>
      </c>
      <c r="F6" s="245">
        <v>5</v>
      </c>
    </row>
    <row r="7" spans="1:8" ht="42" x14ac:dyDescent="0.35">
      <c r="A7" s="242">
        <v>2</v>
      </c>
      <c r="B7" s="242"/>
      <c r="C7" s="214">
        <v>2</v>
      </c>
      <c r="D7" s="215" t="s">
        <v>4295</v>
      </c>
      <c r="E7" s="245">
        <v>5</v>
      </c>
      <c r="F7" s="245">
        <v>13</v>
      </c>
    </row>
    <row r="8" spans="1:8" ht="42" x14ac:dyDescent="0.35">
      <c r="A8" s="242">
        <v>3</v>
      </c>
      <c r="B8" s="242"/>
      <c r="C8" s="214">
        <v>3</v>
      </c>
      <c r="D8" s="215" t="s">
        <v>4296</v>
      </c>
      <c r="E8" s="245">
        <v>6</v>
      </c>
      <c r="F8" s="245">
        <v>14</v>
      </c>
    </row>
    <row r="9" spans="1:8" ht="56" x14ac:dyDescent="0.35">
      <c r="A9" s="242">
        <v>4</v>
      </c>
      <c r="B9" s="242"/>
      <c r="C9" s="214">
        <v>4</v>
      </c>
      <c r="D9" s="215" t="s">
        <v>4297</v>
      </c>
      <c r="E9" s="245">
        <v>12</v>
      </c>
      <c r="F9" s="245">
        <v>27</v>
      </c>
    </row>
    <row r="10" spans="1:8" ht="56" x14ac:dyDescent="0.35">
      <c r="A10" s="242">
        <v>5</v>
      </c>
      <c r="B10" s="242"/>
      <c r="C10" s="214">
        <v>5</v>
      </c>
      <c r="D10" s="215" t="s">
        <v>4298</v>
      </c>
      <c r="E10" s="245">
        <v>13</v>
      </c>
      <c r="F10" s="245">
        <v>28</v>
      </c>
    </row>
    <row r="11" spans="1:8" ht="56" x14ac:dyDescent="0.35">
      <c r="A11" s="242">
        <v>6</v>
      </c>
      <c r="B11" s="242"/>
      <c r="C11" s="214">
        <v>6</v>
      </c>
      <c r="D11" s="215" t="s">
        <v>4299</v>
      </c>
      <c r="E11" s="245">
        <v>14</v>
      </c>
      <c r="F11" s="245">
        <v>30</v>
      </c>
    </row>
    <row r="12" spans="1:8" ht="42" x14ac:dyDescent="0.35">
      <c r="A12" s="242">
        <v>7</v>
      </c>
      <c r="B12" s="242"/>
      <c r="C12" s="214">
        <v>7</v>
      </c>
      <c r="D12" s="215" t="s">
        <v>4300</v>
      </c>
      <c r="E12" s="245">
        <v>15</v>
      </c>
      <c r="F12" s="245">
        <v>31</v>
      </c>
    </row>
    <row r="13" spans="1:8" ht="42" x14ac:dyDescent="0.35">
      <c r="A13" s="242">
        <v>8</v>
      </c>
      <c r="B13" s="242"/>
      <c r="C13" s="214">
        <v>8</v>
      </c>
      <c r="D13" s="215" t="s">
        <v>4301</v>
      </c>
      <c r="E13" s="245">
        <v>16</v>
      </c>
      <c r="F13" s="245">
        <v>32</v>
      </c>
    </row>
    <row r="14" spans="1:8" ht="55.5" customHeight="1" x14ac:dyDescent="0.35">
      <c r="A14" s="242">
        <v>9</v>
      </c>
      <c r="B14" s="242"/>
      <c r="C14" s="214">
        <v>9</v>
      </c>
      <c r="D14" s="215" t="s">
        <v>4302</v>
      </c>
      <c r="E14" s="292" t="s">
        <v>4050</v>
      </c>
      <c r="F14" s="292" t="s">
        <v>4050</v>
      </c>
      <c r="H14" s="234"/>
    </row>
    <row r="15" spans="1:8" ht="42" x14ac:dyDescent="0.35">
      <c r="A15" s="242">
        <v>10</v>
      </c>
      <c r="B15" s="242"/>
      <c r="C15" s="214">
        <v>10</v>
      </c>
      <c r="D15" s="215" t="s">
        <v>4303</v>
      </c>
      <c r="E15" s="292" t="s">
        <v>4050</v>
      </c>
      <c r="F15" s="292" t="s">
        <v>4050</v>
      </c>
      <c r="H15" s="234"/>
    </row>
    <row r="16" spans="1:8" ht="45" customHeight="1" x14ac:dyDescent="0.35">
      <c r="A16" s="242">
        <v>11</v>
      </c>
      <c r="B16" s="242"/>
      <c r="C16" s="214">
        <v>11</v>
      </c>
      <c r="D16" s="291" t="s">
        <v>4304</v>
      </c>
      <c r="E16" s="292" t="s">
        <v>4050</v>
      </c>
      <c r="F16" s="292" t="s">
        <v>4050</v>
      </c>
      <c r="H16" s="11" t="s">
        <v>61</v>
      </c>
    </row>
    <row r="17" spans="1:6" x14ac:dyDescent="0.35">
      <c r="A17" s="242">
        <v>12</v>
      </c>
      <c r="B17" s="242"/>
      <c r="C17" s="214">
        <v>12</v>
      </c>
      <c r="D17" s="291" t="s">
        <v>4305</v>
      </c>
      <c r="E17" s="292" t="s">
        <v>4050</v>
      </c>
      <c r="F17" s="292" t="s">
        <v>4050</v>
      </c>
    </row>
    <row r="18" spans="1:6" ht="15" x14ac:dyDescent="0.3">
      <c r="A18" s="242">
        <v>13</v>
      </c>
      <c r="B18" s="242"/>
      <c r="C18" s="214">
        <v>13</v>
      </c>
      <c r="D18" s="293" t="s">
        <v>4306</v>
      </c>
      <c r="E18" s="292" t="s">
        <v>4050</v>
      </c>
      <c r="F18" s="292" t="s">
        <v>4050</v>
      </c>
    </row>
    <row r="19" spans="1:6" ht="15" x14ac:dyDescent="0.3">
      <c r="A19" s="242">
        <v>14</v>
      </c>
      <c r="B19" s="242"/>
      <c r="C19" s="214">
        <v>14</v>
      </c>
      <c r="D19" s="293" t="s">
        <v>4307</v>
      </c>
      <c r="E19" s="292" t="s">
        <v>4050</v>
      </c>
      <c r="F19" s="292" t="s">
        <v>4050</v>
      </c>
    </row>
    <row r="20" spans="1:6" ht="15" x14ac:dyDescent="0.3">
      <c r="A20" s="242">
        <v>15</v>
      </c>
      <c r="B20" s="242"/>
      <c r="C20" s="214">
        <v>15</v>
      </c>
      <c r="D20" s="293" t="s">
        <v>4308</v>
      </c>
      <c r="E20" s="292" t="s">
        <v>4050</v>
      </c>
      <c r="F20" s="292" t="s">
        <v>4050</v>
      </c>
    </row>
    <row r="21" spans="1:6" ht="15" x14ac:dyDescent="0.3">
      <c r="A21" s="242">
        <v>16</v>
      </c>
      <c r="B21" s="242"/>
      <c r="C21" s="214">
        <v>16</v>
      </c>
      <c r="D21" s="293" t="s">
        <v>4309</v>
      </c>
      <c r="E21" s="292" t="s">
        <v>4050</v>
      </c>
      <c r="F21" s="292" t="s">
        <v>4050</v>
      </c>
    </row>
    <row r="22" spans="1:6" ht="30" x14ac:dyDescent="0.3">
      <c r="A22" s="364">
        <v>17</v>
      </c>
      <c r="B22" s="364"/>
      <c r="C22" s="330">
        <v>17</v>
      </c>
      <c r="D22" s="367" t="s">
        <v>4421</v>
      </c>
      <c r="E22" s="331" t="s">
        <v>4050</v>
      </c>
      <c r="F22" s="331" t="s">
        <v>4050</v>
      </c>
    </row>
    <row r="23" spans="1:6" ht="15" x14ac:dyDescent="0.3">
      <c r="A23" s="242">
        <v>18</v>
      </c>
      <c r="B23" s="242"/>
      <c r="C23" s="214">
        <v>18</v>
      </c>
      <c r="D23" s="293" t="s">
        <v>3896</v>
      </c>
      <c r="E23" s="292" t="s">
        <v>4050</v>
      </c>
      <c r="F23" s="292" t="s">
        <v>4050</v>
      </c>
    </row>
    <row r="24" spans="1:6" ht="15" x14ac:dyDescent="0.3">
      <c r="A24" s="242">
        <v>19</v>
      </c>
      <c r="B24" s="242"/>
      <c r="C24" s="214">
        <v>19</v>
      </c>
      <c r="D24" s="293" t="s">
        <v>3897</v>
      </c>
      <c r="E24" s="292" t="s">
        <v>4050</v>
      </c>
      <c r="F24" s="292" t="s">
        <v>4050</v>
      </c>
    </row>
    <row r="25" spans="1:6" ht="15" x14ac:dyDescent="0.3">
      <c r="A25" s="365"/>
      <c r="B25" s="365"/>
      <c r="C25" s="365"/>
      <c r="D25" s="368"/>
      <c r="E25" s="365"/>
      <c r="F25" s="365"/>
    </row>
    <row r="26" spans="1:6" ht="42" x14ac:dyDescent="0.35">
      <c r="A26" s="366" t="s">
        <v>4056</v>
      </c>
      <c r="B26" s="366" t="s">
        <v>4057</v>
      </c>
      <c r="C26" s="214" t="s">
        <v>4310</v>
      </c>
      <c r="D26" s="309" t="s">
        <v>87</v>
      </c>
      <c r="E26" s="331" t="s">
        <v>4050</v>
      </c>
      <c r="F26" s="331" t="s">
        <v>4050</v>
      </c>
    </row>
    <row r="27" spans="1:6" ht="42" x14ac:dyDescent="0.35">
      <c r="A27" s="366" t="s">
        <v>4056</v>
      </c>
      <c r="B27" s="366" t="s">
        <v>4057</v>
      </c>
      <c r="C27" s="214">
        <v>21</v>
      </c>
      <c r="D27" s="309" t="s">
        <v>88</v>
      </c>
      <c r="E27" s="292" t="s">
        <v>4050</v>
      </c>
      <c r="F27" s="292" t="s">
        <v>4050</v>
      </c>
    </row>
    <row r="28" spans="1:6" ht="42" x14ac:dyDescent="0.35">
      <c r="A28" s="366" t="s">
        <v>4056</v>
      </c>
      <c r="B28" s="366" t="s">
        <v>4057</v>
      </c>
      <c r="C28" s="214">
        <v>22</v>
      </c>
      <c r="D28" s="309" t="s">
        <v>89</v>
      </c>
      <c r="E28" s="292" t="s">
        <v>4050</v>
      </c>
      <c r="F28" s="292" t="s">
        <v>4050</v>
      </c>
    </row>
    <row r="29" spans="1:6" ht="15" x14ac:dyDescent="0.3">
      <c r="A29" s="365"/>
      <c r="B29" s="365"/>
      <c r="C29" s="365"/>
      <c r="D29" s="368"/>
      <c r="E29" s="365"/>
      <c r="F29" s="365"/>
    </row>
  </sheetData>
  <sheetProtection algorithmName="SHA-512" hashValue="gD5PjbXYtWFCV5VEbecBdyByiWENF9HzbOYiEz/V+AadNiUvD+lRK4LhrUirxzYnOQ0PRQGtUy1Oa1Zt19AupQ==" saltValue="lz81MBScSbDs1BulPhJ9uw==" spinCount="100000" sheet="1" formatCells="0" formatColumns="0" formatRows="0" insertHyperlinks="0" autoFilter="0"/>
  <mergeCells count="1">
    <mergeCell ref="C3:F3"/>
  </mergeCells>
  <phoneticPr fontId="27" type="noConversion"/>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77C66-E0BD-4442-B72E-67350D8B0185}">
  <sheetPr codeName="Hoja10">
    <tabColor rgb="FF002060"/>
  </sheetPr>
  <dimension ref="A1:B43"/>
  <sheetViews>
    <sheetView showGridLines="0" zoomScale="90" zoomScaleNormal="90" workbookViewId="0">
      <pane xSplit="1" ySplit="5" topLeftCell="B18" activePane="bottomRight" state="frozen"/>
      <selection pane="topRight" activeCell="B1" sqref="B1"/>
      <selection pane="bottomLeft" activeCell="A6" sqref="A6"/>
      <selection pane="bottomRight" activeCell="B19" sqref="B19"/>
    </sheetView>
  </sheetViews>
  <sheetFormatPr baseColWidth="10" defaultColWidth="11.453125" defaultRowHeight="14" x14ac:dyDescent="0.35"/>
  <cols>
    <col min="1" max="1" width="21.54296875" style="107" customWidth="1"/>
    <col min="2" max="2" width="125.54296875" style="107" customWidth="1"/>
    <col min="3" max="3" width="21.54296875" style="11" customWidth="1"/>
    <col min="4" max="5" width="10.54296875" style="11" customWidth="1"/>
    <col min="6" max="6" width="20.54296875" style="11" customWidth="1"/>
    <col min="7" max="16384" width="11.453125" style="11"/>
  </cols>
  <sheetData>
    <row r="1" spans="1:2" x14ac:dyDescent="0.35">
      <c r="A1" s="131"/>
    </row>
    <row r="2" spans="1:2" x14ac:dyDescent="0.35">
      <c r="A2" s="106"/>
    </row>
    <row r="3" spans="1:2" ht="14.5" thickBot="1" x14ac:dyDescent="0.4">
      <c r="B3" s="132" t="s">
        <v>3900</v>
      </c>
    </row>
    <row r="5" spans="1:2" ht="14.5" thickBot="1" x14ac:dyDescent="0.4">
      <c r="B5" s="132" t="s">
        <v>4311</v>
      </c>
    </row>
    <row r="7" spans="1:2" ht="42" x14ac:dyDescent="0.35">
      <c r="B7" s="122" t="s">
        <v>4312</v>
      </c>
    </row>
    <row r="8" spans="1:2" x14ac:dyDescent="0.35">
      <c r="B8" s="122"/>
    </row>
    <row r="9" spans="1:2" x14ac:dyDescent="0.35">
      <c r="B9" s="122" t="s">
        <v>4064</v>
      </c>
    </row>
    <row r="10" spans="1:2" x14ac:dyDescent="0.35">
      <c r="B10" s="122"/>
    </row>
    <row r="11" spans="1:2" ht="56" x14ac:dyDescent="0.35">
      <c r="B11" s="122" t="s">
        <v>4313</v>
      </c>
    </row>
    <row r="12" spans="1:2" x14ac:dyDescent="0.35">
      <c r="B12" s="122"/>
    </row>
    <row r="13" spans="1:2" x14ac:dyDescent="0.35">
      <c r="B13" s="122" t="s">
        <v>4314</v>
      </c>
    </row>
    <row r="14" spans="1:2" x14ac:dyDescent="0.35">
      <c r="B14" s="118"/>
    </row>
    <row r="15" spans="1:2" ht="14.5" thickBot="1" x14ac:dyDescent="0.4">
      <c r="B15" s="133" t="s">
        <v>4315</v>
      </c>
    </row>
    <row r="17" spans="1:2" x14ac:dyDescent="0.35">
      <c r="A17" s="109"/>
      <c r="B17" s="119" t="s">
        <v>4067</v>
      </c>
    </row>
    <row r="18" spans="1:2" x14ac:dyDescent="0.35">
      <c r="A18" s="109"/>
      <c r="B18" s="134" t="s">
        <v>4316</v>
      </c>
    </row>
    <row r="19" spans="1:2" x14ac:dyDescent="0.35">
      <c r="A19" s="109"/>
      <c r="B19" s="134" t="s">
        <v>4317</v>
      </c>
    </row>
    <row r="20" spans="1:2" x14ac:dyDescent="0.35">
      <c r="A20" s="109"/>
      <c r="B20" s="134" t="s">
        <v>4072</v>
      </c>
    </row>
    <row r="21" spans="1:2" x14ac:dyDescent="0.35">
      <c r="A21" s="109"/>
      <c r="B21" s="134" t="s">
        <v>4318</v>
      </c>
    </row>
    <row r="22" spans="1:2" x14ac:dyDescent="0.35">
      <c r="A22" s="109"/>
      <c r="B22" s="134" t="s">
        <v>4319</v>
      </c>
    </row>
    <row r="23" spans="1:2" x14ac:dyDescent="0.35">
      <c r="A23" s="109"/>
      <c r="B23" s="134" t="s">
        <v>4320</v>
      </c>
    </row>
    <row r="24" spans="1:2" x14ac:dyDescent="0.35">
      <c r="A24" s="109"/>
      <c r="B24" s="134" t="s">
        <v>4321</v>
      </c>
    </row>
    <row r="25" spans="1:2" x14ac:dyDescent="0.35">
      <c r="A25" s="109"/>
      <c r="B25" s="134" t="s">
        <v>4322</v>
      </c>
    </row>
    <row r="26" spans="1:2" x14ac:dyDescent="0.35">
      <c r="A26" s="73"/>
      <c r="B26" s="134" t="s">
        <v>4076</v>
      </c>
    </row>
    <row r="27" spans="1:2" x14ac:dyDescent="0.35">
      <c r="A27" s="73"/>
      <c r="B27" s="134" t="s">
        <v>4077</v>
      </c>
    </row>
    <row r="28" spans="1:2" x14ac:dyDescent="0.35">
      <c r="A28" s="109"/>
      <c r="B28" s="134" t="s">
        <v>4078</v>
      </c>
    </row>
    <row r="29" spans="1:2" x14ac:dyDescent="0.35">
      <c r="A29" s="109"/>
      <c r="B29" s="134" t="s">
        <v>4323</v>
      </c>
    </row>
    <row r="30" spans="1:2" x14ac:dyDescent="0.35">
      <c r="A30" s="109"/>
      <c r="B30" s="134" t="s">
        <v>4324</v>
      </c>
    </row>
    <row r="31" spans="1:2" x14ac:dyDescent="0.35">
      <c r="A31" s="109"/>
      <c r="B31" s="134" t="s">
        <v>4325</v>
      </c>
    </row>
    <row r="32" spans="1:2" x14ac:dyDescent="0.35">
      <c r="A32" s="109"/>
      <c r="B32" s="134" t="s">
        <v>4326</v>
      </c>
    </row>
    <row r="33" spans="1:2" x14ac:dyDescent="0.35">
      <c r="A33" s="109"/>
      <c r="B33" s="134" t="s">
        <v>4327</v>
      </c>
    </row>
    <row r="34" spans="1:2" x14ac:dyDescent="0.35">
      <c r="A34" s="73"/>
      <c r="B34" s="134" t="s">
        <v>4070</v>
      </c>
    </row>
    <row r="35" spans="1:2" x14ac:dyDescent="0.35">
      <c r="A35" s="73"/>
      <c r="B35" s="134" t="s">
        <v>4071</v>
      </c>
    </row>
    <row r="36" spans="1:2" x14ac:dyDescent="0.35">
      <c r="A36" s="135"/>
      <c r="B36" s="134" t="s">
        <v>4328</v>
      </c>
    </row>
    <row r="37" spans="1:2" x14ac:dyDescent="0.35">
      <c r="A37" s="135"/>
      <c r="B37" s="134" t="s">
        <v>4329</v>
      </c>
    </row>
    <row r="38" spans="1:2" x14ac:dyDescent="0.35">
      <c r="A38" s="135"/>
      <c r="B38" s="134" t="s">
        <v>4141</v>
      </c>
    </row>
    <row r="39" spans="1:2" x14ac:dyDescent="0.35">
      <c r="B39" s="119" t="s">
        <v>4081</v>
      </c>
    </row>
    <row r="40" spans="1:2" x14ac:dyDescent="0.35">
      <c r="B40" s="119"/>
    </row>
    <row r="41" spans="1:2" ht="14.5" thickBot="1" x14ac:dyDescent="0.4">
      <c r="B41" s="133" t="s">
        <v>4330</v>
      </c>
    </row>
    <row r="42" spans="1:2" x14ac:dyDescent="0.35">
      <c r="B42" s="118" t="s">
        <v>61</v>
      </c>
    </row>
    <row r="43" spans="1:2" x14ac:dyDescent="0.35">
      <c r="B43" s="119" t="s">
        <v>4331</v>
      </c>
    </row>
  </sheetData>
  <sheetProtection algorithmName="SHA-512" hashValue="ZSOH2fz1NEfTDJhx9Q383MQJcH9IK8juDxQNVoYPAi5AFQypbwBCBG4/5BQjr2OecVPsIBlu4F6uQmXgxDqjOA==" saltValue="EyJPJ1XrQlbJflWRCS7yuQ==" spinCount="100000" sheet="1" formatCells="0" formatColumns="0" formatRows="0" insertHyperlinks="0" autoFilter="0"/>
  <pageMargins left="0.7" right="0.7" top="0.75" bottom="0.75" header="0.3" footer="0.3"/>
  <pageSetup orientation="portrait" r:id="rId1"/>
  <headerFooter>
    <oddFooter>&amp;C&amp;1#&amp;"Calibri"&amp;10&amp;K000000Uso Interno</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6062A-7D51-4117-A5DF-5BBF5CC81511}">
  <sheetPr codeName="Hoja11">
    <tabColor rgb="FF002060"/>
  </sheetPr>
  <dimension ref="A1:N27"/>
  <sheetViews>
    <sheetView showGridLines="0" topLeftCell="B1" zoomScale="80" zoomScaleNormal="80" workbookViewId="0">
      <pane ySplit="5" topLeftCell="A19" activePane="bottomLeft" state="frozen"/>
      <selection pane="bottomLeft" activeCell="G19" sqref="G19"/>
    </sheetView>
  </sheetViews>
  <sheetFormatPr baseColWidth="10" defaultColWidth="11.453125" defaultRowHeight="14" x14ac:dyDescent="0.35"/>
  <cols>
    <col min="1" max="1" width="21.54296875" style="107" customWidth="1"/>
    <col min="2" max="2" width="43.453125" style="107" customWidth="1"/>
    <col min="3" max="6" width="16.54296875" style="108" customWidth="1"/>
    <col min="7" max="7" width="100.54296875" style="119" customWidth="1"/>
    <col min="8" max="8" width="20.54296875" style="110" customWidth="1"/>
    <col min="9" max="9" width="21.54296875" style="11" customWidth="1"/>
    <col min="10" max="11" width="11.453125" style="11"/>
    <col min="12" max="12" width="34" style="11" customWidth="1"/>
    <col min="13" max="13" width="27.453125" style="11" customWidth="1"/>
    <col min="14" max="16384" width="11.453125" style="11"/>
  </cols>
  <sheetData>
    <row r="1" spans="1:14" x14ac:dyDescent="0.35">
      <c r="A1" s="106"/>
    </row>
    <row r="2" spans="1:14" x14ac:dyDescent="0.35">
      <c r="A2" s="106"/>
    </row>
    <row r="3" spans="1:14" ht="25" x14ac:dyDescent="0.35">
      <c r="B3" s="406" t="s">
        <v>4332</v>
      </c>
      <c r="C3" s="406"/>
      <c r="D3" s="406"/>
      <c r="E3" s="406"/>
      <c r="F3" s="406"/>
      <c r="G3" s="406"/>
      <c r="H3" s="406"/>
    </row>
    <row r="5" spans="1:14" ht="28" x14ac:dyDescent="0.35">
      <c r="B5" s="265" t="s">
        <v>4015</v>
      </c>
      <c r="C5" s="265" t="s">
        <v>3942</v>
      </c>
      <c r="D5" s="265" t="s">
        <v>3943</v>
      </c>
      <c r="E5" s="265" t="s">
        <v>3944</v>
      </c>
      <c r="F5" s="265" t="s">
        <v>3945</v>
      </c>
      <c r="G5" s="265" t="s">
        <v>3946</v>
      </c>
      <c r="H5" s="265" t="s">
        <v>3947</v>
      </c>
      <c r="I5" s="265" t="s">
        <v>4333</v>
      </c>
      <c r="M5" s="14"/>
      <c r="N5" s="14"/>
    </row>
    <row r="6" spans="1:14" ht="70" x14ac:dyDescent="0.35">
      <c r="B6" s="113" t="s">
        <v>4085</v>
      </c>
      <c r="C6" s="110"/>
      <c r="D6" s="110"/>
      <c r="E6" s="110"/>
      <c r="F6" s="110"/>
      <c r="G6" s="109" t="s">
        <v>4086</v>
      </c>
      <c r="I6" s="130"/>
      <c r="M6" s="15"/>
      <c r="N6" s="15"/>
    </row>
    <row r="7" spans="1:14" ht="112" x14ac:dyDescent="0.35">
      <c r="B7" s="113" t="s">
        <v>4334</v>
      </c>
      <c r="C7" s="110" t="s">
        <v>3967</v>
      </c>
      <c r="D7" s="110" t="s">
        <v>4019</v>
      </c>
      <c r="E7" s="110" t="s">
        <v>3951</v>
      </c>
      <c r="F7" s="110" t="s">
        <v>4335</v>
      </c>
      <c r="G7" s="109" t="s">
        <v>4336</v>
      </c>
      <c r="I7" s="130"/>
      <c r="M7" s="15"/>
      <c r="N7" s="15"/>
    </row>
    <row r="8" spans="1:14" ht="70" x14ac:dyDescent="0.35">
      <c r="B8" s="112" t="s">
        <v>4337</v>
      </c>
      <c r="C8" s="110" t="s">
        <v>3949</v>
      </c>
      <c r="D8" s="110">
        <v>1</v>
      </c>
      <c r="E8" s="110" t="s">
        <v>3951</v>
      </c>
      <c r="F8" s="110" t="s">
        <v>3952</v>
      </c>
      <c r="G8" s="109" t="s">
        <v>4338</v>
      </c>
      <c r="H8" s="136" t="s">
        <v>339</v>
      </c>
      <c r="I8" s="130"/>
      <c r="M8" s="15"/>
      <c r="N8" s="15"/>
    </row>
    <row r="9" spans="1:14" ht="70" x14ac:dyDescent="0.35">
      <c r="B9" s="113" t="s">
        <v>4095</v>
      </c>
      <c r="C9" s="110" t="s">
        <v>3949</v>
      </c>
      <c r="D9" s="110" t="s">
        <v>3971</v>
      </c>
      <c r="E9" s="110" t="s">
        <v>3951</v>
      </c>
      <c r="F9" s="110" t="s">
        <v>4093</v>
      </c>
      <c r="G9" s="109" t="s">
        <v>4339</v>
      </c>
      <c r="H9" s="136" t="s">
        <v>4096</v>
      </c>
      <c r="I9" s="130"/>
      <c r="M9" s="15"/>
      <c r="N9" s="15"/>
    </row>
    <row r="10" spans="1:14" ht="126" x14ac:dyDescent="0.35">
      <c r="B10" s="113" t="s">
        <v>4340</v>
      </c>
      <c r="C10" s="110" t="s">
        <v>3967</v>
      </c>
      <c r="D10" s="110" t="s">
        <v>4341</v>
      </c>
      <c r="E10" s="110" t="s">
        <v>3951</v>
      </c>
      <c r="F10" s="110" t="s">
        <v>4093</v>
      </c>
      <c r="G10" s="109" t="s">
        <v>4342</v>
      </c>
      <c r="I10" s="130"/>
      <c r="M10" s="15"/>
      <c r="N10" s="15"/>
    </row>
    <row r="11" spans="1:14" ht="322" x14ac:dyDescent="0.35">
      <c r="B11" s="113" t="s">
        <v>4343</v>
      </c>
      <c r="C11" s="110" t="s">
        <v>3967</v>
      </c>
      <c r="D11" s="110" t="s">
        <v>4019</v>
      </c>
      <c r="E11" s="110" t="s">
        <v>3951</v>
      </c>
      <c r="F11" s="110" t="s">
        <v>3952</v>
      </c>
      <c r="G11" s="109" t="s">
        <v>4344</v>
      </c>
      <c r="I11" s="130"/>
      <c r="M11" s="15"/>
      <c r="N11" s="15"/>
    </row>
    <row r="12" spans="1:14" ht="56" x14ac:dyDescent="0.35">
      <c r="B12" s="113" t="s">
        <v>4345</v>
      </c>
      <c r="C12" s="110" t="s">
        <v>3967</v>
      </c>
      <c r="D12" s="110" t="s">
        <v>4346</v>
      </c>
      <c r="E12" s="110" t="s">
        <v>3951</v>
      </c>
      <c r="F12" s="110" t="s">
        <v>4093</v>
      </c>
      <c r="G12" s="109" t="s">
        <v>4347</v>
      </c>
      <c r="I12" s="130"/>
      <c r="M12" s="15"/>
      <c r="N12" s="15"/>
    </row>
    <row r="13" spans="1:14" ht="70" x14ac:dyDescent="0.35">
      <c r="B13" s="113" t="s">
        <v>4348</v>
      </c>
      <c r="C13" s="110" t="s">
        <v>3949</v>
      </c>
      <c r="D13" s="110" t="s">
        <v>4349</v>
      </c>
      <c r="E13" s="110" t="s">
        <v>3951</v>
      </c>
      <c r="F13" s="110" t="s">
        <v>4093</v>
      </c>
      <c r="G13" s="109" t="s">
        <v>4350</v>
      </c>
      <c r="I13" s="130"/>
      <c r="M13" s="15"/>
      <c r="N13" s="15"/>
    </row>
    <row r="14" spans="1:14" ht="84" x14ac:dyDescent="0.35">
      <c r="B14" s="112" t="s">
        <v>4351</v>
      </c>
      <c r="C14" s="110" t="s">
        <v>3967</v>
      </c>
      <c r="D14" s="110" t="s">
        <v>4019</v>
      </c>
      <c r="E14" s="110" t="s">
        <v>3951</v>
      </c>
      <c r="F14" s="110" t="s">
        <v>3952</v>
      </c>
      <c r="G14" s="109" t="s">
        <v>4352</v>
      </c>
      <c r="I14" s="130"/>
      <c r="M14" s="15"/>
      <c r="N14" s="15"/>
    </row>
    <row r="15" spans="1:14" ht="70" x14ac:dyDescent="0.35">
      <c r="B15" s="115" t="s">
        <v>4104</v>
      </c>
      <c r="C15" s="110" t="s">
        <v>3949</v>
      </c>
      <c r="D15" s="110">
        <v>1</v>
      </c>
      <c r="E15" s="110" t="s">
        <v>3951</v>
      </c>
      <c r="F15" s="110" t="s">
        <v>3952</v>
      </c>
      <c r="G15" s="109" t="s">
        <v>4105</v>
      </c>
      <c r="H15" s="136" t="s">
        <v>4106</v>
      </c>
      <c r="I15" s="130"/>
      <c r="M15" s="15"/>
      <c r="N15" s="15"/>
    </row>
    <row r="16" spans="1:14" ht="70" x14ac:dyDescent="0.35">
      <c r="B16" s="115" t="s">
        <v>4107</v>
      </c>
      <c r="C16" s="110" t="s">
        <v>3949</v>
      </c>
      <c r="D16" s="110">
        <v>1</v>
      </c>
      <c r="E16" s="110" t="s">
        <v>3951</v>
      </c>
      <c r="F16" s="110" t="s">
        <v>4093</v>
      </c>
      <c r="G16" s="109" t="s">
        <v>4353</v>
      </c>
      <c r="H16" s="136" t="s">
        <v>4108</v>
      </c>
      <c r="I16" s="130"/>
      <c r="M16" s="15"/>
      <c r="N16" s="15"/>
    </row>
    <row r="17" spans="2:14" ht="126" x14ac:dyDescent="0.35">
      <c r="B17" s="113" t="s">
        <v>4109</v>
      </c>
      <c r="C17" s="110" t="s">
        <v>3967</v>
      </c>
      <c r="D17" s="110" t="s">
        <v>4341</v>
      </c>
      <c r="E17" s="110" t="s">
        <v>3951</v>
      </c>
      <c r="F17" s="110" t="s">
        <v>4093</v>
      </c>
      <c r="G17" s="109" t="s">
        <v>4354</v>
      </c>
      <c r="H17" s="136" t="s">
        <v>4108</v>
      </c>
      <c r="I17" s="130"/>
      <c r="M17" s="15"/>
      <c r="N17" s="15"/>
    </row>
    <row r="18" spans="2:14" ht="70" x14ac:dyDescent="0.35">
      <c r="B18" s="113" t="s">
        <v>4110</v>
      </c>
      <c r="C18" s="110" t="s">
        <v>3949</v>
      </c>
      <c r="D18" s="110" t="s">
        <v>4111</v>
      </c>
      <c r="E18" s="110" t="s">
        <v>3951</v>
      </c>
      <c r="F18" s="110" t="s">
        <v>4093</v>
      </c>
      <c r="G18" s="109" t="s">
        <v>4355</v>
      </c>
      <c r="H18" s="136" t="s">
        <v>4108</v>
      </c>
      <c r="I18" s="130"/>
      <c r="M18" s="15"/>
      <c r="N18" s="15"/>
    </row>
    <row r="19" spans="2:14" ht="112" x14ac:dyDescent="0.35">
      <c r="B19" s="113" t="s">
        <v>4356</v>
      </c>
      <c r="C19" s="110" t="s">
        <v>3949</v>
      </c>
      <c r="D19" s="110" t="s">
        <v>4357</v>
      </c>
      <c r="E19" s="110" t="s">
        <v>3951</v>
      </c>
      <c r="F19" s="110" t="s">
        <v>4093</v>
      </c>
      <c r="G19" s="109" t="s">
        <v>4434</v>
      </c>
      <c r="I19" s="130"/>
      <c r="M19" s="15"/>
      <c r="N19" s="15"/>
    </row>
    <row r="20" spans="2:14" ht="98" x14ac:dyDescent="0.35">
      <c r="B20" s="113" t="s">
        <v>4358</v>
      </c>
      <c r="C20" s="110" t="s">
        <v>3949</v>
      </c>
      <c r="D20" s="110" t="s">
        <v>4359</v>
      </c>
      <c r="E20" s="110" t="s">
        <v>3951</v>
      </c>
      <c r="F20" s="110" t="s">
        <v>4093</v>
      </c>
      <c r="G20" s="109" t="s">
        <v>4360</v>
      </c>
      <c r="H20" s="136" t="s">
        <v>4103</v>
      </c>
      <c r="I20" s="130"/>
      <c r="M20" s="15"/>
      <c r="N20" s="15"/>
    </row>
    <row r="21" spans="2:14" ht="196" x14ac:dyDescent="0.35">
      <c r="B21" s="113" t="s">
        <v>4361</v>
      </c>
      <c r="C21" s="110" t="s">
        <v>3949</v>
      </c>
      <c r="D21" s="110" t="s">
        <v>4362</v>
      </c>
      <c r="E21" s="110" t="s">
        <v>3951</v>
      </c>
      <c r="F21" s="110" t="s">
        <v>3952</v>
      </c>
      <c r="G21" s="113" t="s">
        <v>4363</v>
      </c>
      <c r="I21" s="130"/>
      <c r="M21" s="15"/>
      <c r="N21" s="15"/>
    </row>
    <row r="22" spans="2:14" ht="84" x14ac:dyDescent="0.35">
      <c r="B22" s="113" t="s">
        <v>4364</v>
      </c>
      <c r="C22" s="110" t="s">
        <v>3949</v>
      </c>
      <c r="D22" s="110" t="s">
        <v>4359</v>
      </c>
      <c r="E22" s="110" t="s">
        <v>3951</v>
      </c>
      <c r="F22" s="110" t="s">
        <v>4093</v>
      </c>
      <c r="G22" s="109" t="s">
        <v>4365</v>
      </c>
      <c r="H22" s="136" t="s">
        <v>4103</v>
      </c>
      <c r="I22" s="130"/>
      <c r="M22" s="15"/>
      <c r="N22" s="15"/>
    </row>
    <row r="23" spans="2:14" ht="56" x14ac:dyDescent="0.35">
      <c r="B23" s="115" t="s">
        <v>4090</v>
      </c>
      <c r="C23" s="110" t="s">
        <v>1</v>
      </c>
      <c r="D23" s="110" t="s">
        <v>3964</v>
      </c>
      <c r="E23" s="110" t="s">
        <v>3951</v>
      </c>
      <c r="F23" s="110" t="s">
        <v>3952</v>
      </c>
      <c r="G23" s="109" t="s">
        <v>4366</v>
      </c>
      <c r="I23" s="130"/>
      <c r="M23" s="15"/>
      <c r="N23" s="15"/>
    </row>
    <row r="24" spans="2:14" ht="84" x14ac:dyDescent="0.35">
      <c r="B24" s="115" t="s">
        <v>4092</v>
      </c>
      <c r="C24" s="110" t="s">
        <v>1</v>
      </c>
      <c r="D24" s="110" t="s">
        <v>3964</v>
      </c>
      <c r="E24" s="110" t="s">
        <v>3951</v>
      </c>
      <c r="F24" s="110" t="s">
        <v>4093</v>
      </c>
      <c r="G24" s="109" t="s">
        <v>4367</v>
      </c>
      <c r="I24" s="130"/>
      <c r="M24" s="15"/>
      <c r="N24" s="15"/>
    </row>
    <row r="25" spans="2:14" ht="112" x14ac:dyDescent="0.35">
      <c r="B25" s="148" t="s">
        <v>4368</v>
      </c>
      <c r="C25" s="120" t="s">
        <v>3949</v>
      </c>
      <c r="D25" s="120" t="s">
        <v>3971</v>
      </c>
      <c r="E25" s="120" t="s">
        <v>3951</v>
      </c>
      <c r="F25" s="120" t="s">
        <v>3952</v>
      </c>
      <c r="G25" s="101" t="s">
        <v>4369</v>
      </c>
      <c r="H25" s="136" t="s">
        <v>4158</v>
      </c>
      <c r="I25" s="130"/>
      <c r="M25" s="15">
        <v>5</v>
      </c>
      <c r="N25" s="15" t="s">
        <v>4370</v>
      </c>
    </row>
    <row r="26" spans="2:14" ht="112" x14ac:dyDescent="0.35">
      <c r="B26" s="148" t="s">
        <v>4371</v>
      </c>
      <c r="C26" s="120" t="s">
        <v>3949</v>
      </c>
      <c r="D26" s="328" t="s">
        <v>3971</v>
      </c>
      <c r="E26" s="328" t="s">
        <v>3951</v>
      </c>
      <c r="F26" s="328" t="s">
        <v>3952</v>
      </c>
      <c r="G26" s="329" t="s">
        <v>4372</v>
      </c>
      <c r="H26" s="136" t="s">
        <v>4158</v>
      </c>
      <c r="I26" s="130"/>
      <c r="M26" s="15">
        <v>3</v>
      </c>
      <c r="N26" s="15" t="s">
        <v>4373</v>
      </c>
    </row>
    <row r="27" spans="2:14" ht="112" x14ac:dyDescent="0.35">
      <c r="B27" s="148" t="s">
        <v>4155</v>
      </c>
      <c r="C27" s="120" t="s">
        <v>3949</v>
      </c>
      <c r="D27" s="120" t="s">
        <v>4116</v>
      </c>
      <c r="E27" s="120" t="s">
        <v>3951</v>
      </c>
      <c r="F27" s="286" t="s">
        <v>3952</v>
      </c>
      <c r="G27" s="101" t="s">
        <v>4374</v>
      </c>
      <c r="H27" s="136" t="s">
        <v>4158</v>
      </c>
      <c r="I27" s="130" t="s">
        <v>4375</v>
      </c>
      <c r="M27" s="15">
        <v>40</v>
      </c>
      <c r="N27" s="15"/>
    </row>
  </sheetData>
  <sheetProtection algorithmName="SHA-512" hashValue="9NkwpUYd7ZZXyGyk4PpWlp3T84TQMpxlaSBLbXdpx9jxDubstVTj4dJJFjPSXPSPe7Josha7fMTyg3l4DY1ouQ==" saltValue="ESZfR6hrMiBuDgS6avqASg==" spinCount="100000" sheet="1" formatCells="0" formatColumns="0" formatRows="0" insertHyperlinks="0" autoFilter="0"/>
  <mergeCells count="1">
    <mergeCell ref="B3:H3"/>
  </mergeCells>
  <phoneticPr fontId="27" type="noConversion"/>
  <hyperlinks>
    <hyperlink ref="H9" location="TIPO_PERSONA" tooltip="tipo_persona" display="TIPO PERSONA" xr:uid="{778EAE63-6858-4CB3-9C4E-D14DBC71013E}"/>
    <hyperlink ref="H15" location="TIPO_ASIGNACION_CALIFICACION" tooltip="Tipo_Asignacion_Calificacion" display="TIPO ASIGNACION CALIFICACION" xr:uid="{7F5DED4D-9E7A-408A-899F-716253FF502D}"/>
    <hyperlink ref="H20" location="'04_Valores_Descripcion'!A1" tooltip="tipo_moneda" display="TIPO MONEDA" xr:uid="{1BF3A544-EC70-4EC9-B34A-8722DA65867E}"/>
    <hyperlink ref="H22" location="'04_Valores_Descripcion'!A1" tooltip="tipo_moneda" display="TIPO MONEDA" xr:uid="{A1288243-9B6A-41B4-8407-1557F6935457}"/>
    <hyperlink ref="H17" location="EQUIV_CALIF_AGENCIA_CALIFICADOR!A1" tooltip="Equivalencia_Calificaciones_Agencias_Calificadoras" display="EQUIVALENCIA CALIFICACIONES AGENCIAS CALIFICADORAS" xr:uid="{95F9E8B1-73D3-45F4-8BA5-DD68433DAE3B}"/>
    <hyperlink ref="H18" location="EQUIV_CALIF_AGENCIA_CALIFICADOR!A1" tooltip="Equivalencia_Calificaciones_Agencias_Calificadoras" display="EQUIVALENCIA CALIFICACIONES AGENCIAS CALIFICADORAS" xr:uid="{61A7FFDE-A5BC-49F1-B5A9-A6636A9546A1}"/>
    <hyperlink ref="H16" location="EQUIV_CALIF_AGENCIA_CALIFICADOR!A1" tooltip="Equivalencia_Calificaciones_Agencias_Calificadoras" display="EQUIVALENCIA CALIFICACIONES AGENCIAS CALIFICADORAS" xr:uid="{F63E9111-C72A-4B24-A8C6-9F6AB2A3FE36}"/>
    <hyperlink ref="H25" location="TIPO_COLATERAL_FINANCIERO!A1" tooltip="TIPO_COLATERAL_FINANCIERO" display="TIPO COLATERAL FINANCIERO" xr:uid="{FF825367-4016-4918-90E0-B8E251117A4D}"/>
    <hyperlink ref="H26" location="TIPO_COLATERAL_FINANCIERO!A1" tooltip="TIPO_COLATERAL_FINANCIERO" display="TIPO COLATERAL FINANCIERO" xr:uid="{7C32370D-5A3F-479E-A6EE-040CCB5A2807}"/>
    <hyperlink ref="H27" location="TIPO_COLATERAL_FINANCIERO!A1" tooltip="TIPO_COLATERAL_FINANCIERO" display="TIPO COLATERAL FINANCIERO" xr:uid="{0B6AF6F1-6FA3-4921-ACB5-3B213A9815B9}"/>
    <hyperlink ref="H8" location="TIPO_CLASIFICACION_INSTRUMENTO" tooltip="TIPO_CLASIFICACION_INSTRUMENTO" display="TIPO_CLASIFICACION_INSTRUMENTO" xr:uid="{4E3A85B6-D396-4AFE-B4AA-6B43C82F84A6}"/>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C614-AE05-4556-AFCF-499389273BA6}">
  <sheetPr codeName="Hoja26">
    <tabColor rgb="FF002060"/>
  </sheetPr>
  <dimension ref="A1:G38"/>
  <sheetViews>
    <sheetView showGridLines="0" topLeftCell="A5" zoomScale="80" zoomScaleNormal="80" workbookViewId="0">
      <selection activeCell="D32" sqref="D32"/>
    </sheetView>
  </sheetViews>
  <sheetFormatPr baseColWidth="10" defaultColWidth="11.453125" defaultRowHeight="14.5" x14ac:dyDescent="0.35"/>
  <cols>
    <col min="1" max="2" width="16" customWidth="1"/>
    <col min="3" max="3" width="17.54296875" customWidth="1"/>
    <col min="4" max="4" width="110.54296875" customWidth="1"/>
    <col min="5" max="7" width="15.54296875" customWidth="1"/>
  </cols>
  <sheetData>
    <row r="1" spans="1:7" x14ac:dyDescent="0.35">
      <c r="A1" s="11"/>
      <c r="B1" s="11"/>
      <c r="C1" s="107"/>
      <c r="D1" s="107"/>
      <c r="E1" s="108"/>
      <c r="F1" s="108"/>
      <c r="G1" s="73"/>
    </row>
    <row r="2" spans="1:7" x14ac:dyDescent="0.35">
      <c r="A2" s="11"/>
      <c r="B2" s="11"/>
      <c r="C2" s="107"/>
      <c r="D2" s="107"/>
      <c r="E2" s="108"/>
      <c r="F2" s="108"/>
      <c r="G2" s="73"/>
    </row>
    <row r="3" spans="1:7" ht="25.5" thickBot="1" x14ac:dyDescent="0.4">
      <c r="A3" s="11"/>
      <c r="B3" s="11"/>
      <c r="C3" s="406" t="s">
        <v>4376</v>
      </c>
      <c r="D3" s="406"/>
      <c r="E3" s="406"/>
      <c r="F3" s="406"/>
      <c r="G3" s="406"/>
    </row>
    <row r="4" spans="1:7" ht="15" thickTop="1" x14ac:dyDescent="0.35">
      <c r="A4" s="11"/>
      <c r="B4" s="11"/>
      <c r="C4" s="107"/>
      <c r="D4" s="107"/>
      <c r="E4" s="108"/>
      <c r="F4" s="108"/>
      <c r="G4" s="73"/>
    </row>
    <row r="5" spans="1:7" ht="42" x14ac:dyDescent="0.35">
      <c r="A5" s="346" t="s">
        <v>4041</v>
      </c>
      <c r="B5" s="370" t="s">
        <v>4042</v>
      </c>
      <c r="C5" s="263" t="s">
        <v>4120</v>
      </c>
      <c r="D5" s="263" t="s">
        <v>4044</v>
      </c>
      <c r="E5" s="258" t="s">
        <v>4121</v>
      </c>
      <c r="F5" s="258" t="s">
        <v>4046</v>
      </c>
      <c r="G5" s="258" t="s">
        <v>4047</v>
      </c>
    </row>
    <row r="6" spans="1:7" ht="56" x14ac:dyDescent="0.35">
      <c r="A6" s="246">
        <v>1</v>
      </c>
      <c r="B6" s="246"/>
      <c r="C6" s="246">
        <v>1</v>
      </c>
      <c r="D6" s="247" t="s">
        <v>4377</v>
      </c>
      <c r="E6" s="248">
        <v>2</v>
      </c>
      <c r="F6" s="248"/>
      <c r="G6" s="249"/>
    </row>
    <row r="7" spans="1:7" ht="56" x14ac:dyDescent="0.35">
      <c r="A7" s="246">
        <v>2</v>
      </c>
      <c r="B7" s="246"/>
      <c r="C7" s="246">
        <v>2</v>
      </c>
      <c r="D7" s="247" t="s">
        <v>4378</v>
      </c>
      <c r="E7" s="248">
        <v>3</v>
      </c>
      <c r="F7" s="248"/>
      <c r="G7" s="249"/>
    </row>
    <row r="8" spans="1:7" ht="56" x14ac:dyDescent="0.35">
      <c r="A8" s="246">
        <v>3</v>
      </c>
      <c r="B8" s="246"/>
      <c r="C8" s="246">
        <v>3</v>
      </c>
      <c r="D8" s="247" t="s">
        <v>4379</v>
      </c>
      <c r="E8" s="248">
        <v>5</v>
      </c>
      <c r="F8" s="248"/>
      <c r="G8" s="249"/>
    </row>
    <row r="9" spans="1:7" ht="70" x14ac:dyDescent="0.35">
      <c r="A9" s="246">
        <v>4</v>
      </c>
      <c r="B9" s="246"/>
      <c r="C9" s="246">
        <v>4</v>
      </c>
      <c r="D9" s="318" t="s">
        <v>4380</v>
      </c>
      <c r="E9" s="248">
        <v>6</v>
      </c>
      <c r="F9" s="248"/>
      <c r="G9" s="249"/>
    </row>
    <row r="10" spans="1:7" ht="56" x14ac:dyDescent="0.35">
      <c r="A10" s="246">
        <v>5</v>
      </c>
      <c r="B10" s="246"/>
      <c r="C10" s="246">
        <v>5</v>
      </c>
      <c r="D10" s="247" t="s">
        <v>4381</v>
      </c>
      <c r="E10" s="248">
        <v>7</v>
      </c>
      <c r="F10" s="248"/>
      <c r="G10" s="249"/>
    </row>
    <row r="11" spans="1:7" ht="42" x14ac:dyDescent="0.35">
      <c r="A11" s="246">
        <v>6</v>
      </c>
      <c r="B11" s="246"/>
      <c r="C11" s="246">
        <v>6</v>
      </c>
      <c r="D11" s="247" t="s">
        <v>4382</v>
      </c>
      <c r="E11" s="248">
        <v>8</v>
      </c>
      <c r="F11" s="248"/>
      <c r="G11" s="249"/>
    </row>
    <row r="12" spans="1:7" ht="42" x14ac:dyDescent="0.35">
      <c r="A12" s="246">
        <v>7</v>
      </c>
      <c r="B12" s="246"/>
      <c r="C12" s="246">
        <v>7</v>
      </c>
      <c r="D12" s="247" t="s">
        <v>4383</v>
      </c>
      <c r="E12" s="248">
        <v>9</v>
      </c>
      <c r="F12" s="248"/>
      <c r="G12" s="249"/>
    </row>
    <row r="13" spans="1:7" ht="42" x14ac:dyDescent="0.35">
      <c r="A13" s="246">
        <v>8</v>
      </c>
      <c r="B13" s="246"/>
      <c r="C13" s="246">
        <v>8</v>
      </c>
      <c r="D13" s="247" t="s">
        <v>4384</v>
      </c>
      <c r="E13" s="248">
        <v>10</v>
      </c>
      <c r="F13" s="248"/>
      <c r="G13" s="249"/>
    </row>
    <row r="14" spans="1:7" ht="130.5" customHeight="1" x14ac:dyDescent="0.35">
      <c r="A14" s="246">
        <v>9</v>
      </c>
      <c r="B14" s="246"/>
      <c r="C14" s="246">
        <v>9</v>
      </c>
      <c r="D14" s="247" t="s">
        <v>4385</v>
      </c>
      <c r="E14" s="248">
        <v>11</v>
      </c>
      <c r="F14" s="248"/>
      <c r="G14" s="249"/>
    </row>
    <row r="15" spans="1:7" ht="155" x14ac:dyDescent="0.35">
      <c r="A15" s="246">
        <v>10</v>
      </c>
      <c r="B15" s="246"/>
      <c r="C15" s="246">
        <v>10</v>
      </c>
      <c r="D15" s="247" t="s">
        <v>4386</v>
      </c>
      <c r="E15" s="248">
        <v>12</v>
      </c>
      <c r="F15" s="248"/>
      <c r="G15" s="249"/>
    </row>
    <row r="16" spans="1:7" ht="141" x14ac:dyDescent="0.35">
      <c r="A16" s="246">
        <v>11</v>
      </c>
      <c r="B16" s="246"/>
      <c r="C16" s="246">
        <v>11</v>
      </c>
      <c r="D16" s="247" t="s">
        <v>4387</v>
      </c>
      <c r="E16" s="248">
        <v>13</v>
      </c>
      <c r="F16" s="248"/>
      <c r="G16" s="249"/>
    </row>
    <row r="17" spans="1:7" ht="84" x14ac:dyDescent="0.35">
      <c r="A17" s="332">
        <v>12</v>
      </c>
      <c r="B17" s="332"/>
      <c r="C17" s="332">
        <v>12</v>
      </c>
      <c r="D17" s="369" t="s">
        <v>4388</v>
      </c>
      <c r="E17" s="333">
        <v>14</v>
      </c>
      <c r="F17" s="333"/>
      <c r="G17" s="334"/>
    </row>
    <row r="18" spans="1:7" ht="50.15" customHeight="1" x14ac:dyDescent="0.35">
      <c r="A18" s="246">
        <v>13</v>
      </c>
      <c r="B18" s="246"/>
      <c r="C18" s="246">
        <v>13</v>
      </c>
      <c r="D18" s="247" t="s">
        <v>4389</v>
      </c>
      <c r="E18" s="248">
        <v>16</v>
      </c>
      <c r="F18" s="248"/>
      <c r="G18" s="249"/>
    </row>
    <row r="19" spans="1:7" ht="50.15" customHeight="1" x14ac:dyDescent="0.35">
      <c r="A19" s="246">
        <v>14</v>
      </c>
      <c r="B19" s="246"/>
      <c r="C19" s="246">
        <v>14</v>
      </c>
      <c r="D19" s="247" t="s">
        <v>4390</v>
      </c>
      <c r="E19" s="248">
        <v>17</v>
      </c>
      <c r="F19" s="248"/>
      <c r="G19" s="249"/>
    </row>
    <row r="20" spans="1:7" ht="50.15" customHeight="1" x14ac:dyDescent="0.35">
      <c r="A20" s="246">
        <v>15</v>
      </c>
      <c r="B20" s="246"/>
      <c r="C20" s="246">
        <v>15</v>
      </c>
      <c r="D20" s="247" t="s">
        <v>4391</v>
      </c>
      <c r="E20" s="248">
        <v>18</v>
      </c>
      <c r="F20" s="248"/>
      <c r="G20" s="249"/>
    </row>
    <row r="21" spans="1:7" ht="50.15" customHeight="1" x14ac:dyDescent="0.35">
      <c r="A21" s="246">
        <v>16</v>
      </c>
      <c r="B21" s="246"/>
      <c r="C21" s="246">
        <v>16</v>
      </c>
      <c r="D21" s="247" t="s">
        <v>4392</v>
      </c>
      <c r="E21" s="248">
        <v>19</v>
      </c>
      <c r="F21" s="248"/>
      <c r="G21" s="249"/>
    </row>
    <row r="22" spans="1:7" ht="87" customHeight="1" x14ac:dyDescent="0.35">
      <c r="A22" s="246">
        <v>17</v>
      </c>
      <c r="B22" s="246"/>
      <c r="C22" s="246">
        <v>17</v>
      </c>
      <c r="D22" s="251" t="s">
        <v>4393</v>
      </c>
      <c r="E22" s="248">
        <v>20</v>
      </c>
      <c r="F22" s="248"/>
      <c r="G22" s="249"/>
    </row>
    <row r="23" spans="1:7" ht="82" customHeight="1" x14ac:dyDescent="0.35">
      <c r="A23" s="246">
        <v>18</v>
      </c>
      <c r="B23" s="246"/>
      <c r="C23" s="246">
        <v>18</v>
      </c>
      <c r="D23" s="251" t="s">
        <v>4394</v>
      </c>
      <c r="E23" s="248">
        <v>21</v>
      </c>
      <c r="F23" s="248"/>
      <c r="G23" s="249"/>
    </row>
    <row r="24" spans="1:7" ht="50.15" customHeight="1" x14ac:dyDescent="0.35">
      <c r="A24" s="246">
        <v>19</v>
      </c>
      <c r="B24" s="246"/>
      <c r="C24" s="246">
        <v>19</v>
      </c>
      <c r="D24" s="251" t="s">
        <v>4395</v>
      </c>
      <c r="E24" s="248">
        <v>22</v>
      </c>
      <c r="F24" s="248"/>
      <c r="G24" s="249"/>
    </row>
    <row r="25" spans="1:7" ht="50.15" customHeight="1" x14ac:dyDescent="0.35">
      <c r="A25" s="246">
        <v>20</v>
      </c>
      <c r="B25" s="246"/>
      <c r="C25" s="246">
        <v>20</v>
      </c>
      <c r="D25" s="252" t="s">
        <v>4396</v>
      </c>
      <c r="E25" s="253"/>
      <c r="F25" s="253" t="s">
        <v>4050</v>
      </c>
      <c r="G25" s="253"/>
    </row>
    <row r="26" spans="1:7" ht="50.15" customHeight="1" x14ac:dyDescent="0.35">
      <c r="A26" s="246">
        <v>21</v>
      </c>
      <c r="B26" s="246"/>
      <c r="C26" s="246">
        <v>21</v>
      </c>
      <c r="D26" s="295" t="s">
        <v>4397</v>
      </c>
      <c r="E26" s="248"/>
      <c r="F26" s="248" t="s">
        <v>4050</v>
      </c>
      <c r="G26" s="249"/>
    </row>
    <row r="27" spans="1:7" ht="50.15" customHeight="1" x14ac:dyDescent="0.35">
      <c r="A27" s="246">
        <v>22</v>
      </c>
      <c r="B27" s="246"/>
      <c r="C27" s="246">
        <v>22</v>
      </c>
      <c r="D27" s="295" t="s">
        <v>4398</v>
      </c>
      <c r="E27" s="248"/>
      <c r="F27" s="248" t="s">
        <v>4050</v>
      </c>
      <c r="G27" s="249"/>
    </row>
    <row r="28" spans="1:7" ht="50.15" customHeight="1" x14ac:dyDescent="0.35">
      <c r="A28" s="246">
        <v>23</v>
      </c>
      <c r="B28" s="246"/>
      <c r="C28" s="246">
        <v>23</v>
      </c>
      <c r="D28" s="295" t="s">
        <v>4399</v>
      </c>
      <c r="E28" s="248"/>
      <c r="F28" s="248" t="s">
        <v>4050</v>
      </c>
      <c r="G28" s="248"/>
    </row>
    <row r="29" spans="1:7" ht="50.15" customHeight="1" x14ac:dyDescent="0.35">
      <c r="A29" s="246">
        <v>24</v>
      </c>
      <c r="B29" s="246"/>
      <c r="C29" s="246">
        <v>24</v>
      </c>
      <c r="D29" s="295" t="s">
        <v>4400</v>
      </c>
      <c r="E29" s="248"/>
      <c r="F29" s="248" t="s">
        <v>4050</v>
      </c>
      <c r="G29" s="248"/>
    </row>
    <row r="30" spans="1:7" ht="50.15" customHeight="1" x14ac:dyDescent="0.35">
      <c r="A30" s="246">
        <v>25</v>
      </c>
      <c r="B30" s="246"/>
      <c r="C30" s="246">
        <v>25</v>
      </c>
      <c r="D30" s="295" t="s">
        <v>4401</v>
      </c>
      <c r="E30" s="248"/>
      <c r="F30" s="248" t="s">
        <v>4050</v>
      </c>
      <c r="G30" s="249"/>
    </row>
    <row r="31" spans="1:7" ht="22" customHeight="1" x14ac:dyDescent="0.35">
      <c r="A31" s="360"/>
      <c r="B31" s="360"/>
      <c r="C31" s="360"/>
      <c r="D31" s="372"/>
      <c r="E31" s="360"/>
      <c r="F31" s="360"/>
      <c r="G31" s="360"/>
    </row>
    <row r="32" spans="1:7" ht="25.5" customHeight="1" x14ac:dyDescent="0.35">
      <c r="A32" s="246">
        <v>26</v>
      </c>
      <c r="B32" s="361"/>
      <c r="C32" s="246">
        <v>26</v>
      </c>
      <c r="D32" s="251" t="s">
        <v>4435</v>
      </c>
      <c r="E32" s="248"/>
      <c r="F32" s="248" t="s">
        <v>4050</v>
      </c>
      <c r="G32" s="249"/>
    </row>
    <row r="33" spans="1:7" ht="56" x14ac:dyDescent="0.35">
      <c r="A33" s="246" t="s">
        <v>4402</v>
      </c>
      <c r="B33" s="361"/>
      <c r="C33" s="246" t="s">
        <v>4402</v>
      </c>
      <c r="D33" s="373" t="s">
        <v>4436</v>
      </c>
      <c r="E33" s="305"/>
      <c r="F33" s="248" t="s">
        <v>4050</v>
      </c>
      <c r="G33" s="306"/>
    </row>
    <row r="34" spans="1:7" ht="56" x14ac:dyDescent="0.35">
      <c r="A34" s="361" t="s">
        <v>4056</v>
      </c>
      <c r="B34" s="361" t="s">
        <v>4057</v>
      </c>
      <c r="C34" s="321" t="s">
        <v>4403</v>
      </c>
      <c r="D34" s="374" t="s">
        <v>4404</v>
      </c>
      <c r="E34" s="305"/>
      <c r="F34" s="305"/>
      <c r="G34" s="306"/>
    </row>
    <row r="35" spans="1:7" ht="56" x14ac:dyDescent="0.35">
      <c r="A35" s="361" t="s">
        <v>4056</v>
      </c>
      <c r="B35" s="361" t="s">
        <v>4057</v>
      </c>
      <c r="C35" s="321" t="s">
        <v>4405</v>
      </c>
      <c r="D35" s="374" t="s">
        <v>4406</v>
      </c>
      <c r="E35" s="305"/>
      <c r="F35" s="305"/>
      <c r="G35" s="306"/>
    </row>
    <row r="36" spans="1:7" ht="56" x14ac:dyDescent="0.35">
      <c r="A36" s="361" t="s">
        <v>4056</v>
      </c>
      <c r="B36" s="361" t="s">
        <v>4057</v>
      </c>
      <c r="C36" s="321" t="s">
        <v>4407</v>
      </c>
      <c r="D36" s="374" t="s">
        <v>4408</v>
      </c>
      <c r="E36" s="305"/>
      <c r="F36" s="305"/>
      <c r="G36" s="306"/>
    </row>
    <row r="37" spans="1:7" ht="56" x14ac:dyDescent="0.35">
      <c r="A37" s="371" t="s">
        <v>4409</v>
      </c>
      <c r="B37" s="361"/>
      <c r="C37" s="321" t="s">
        <v>4409</v>
      </c>
      <c r="D37" s="374" t="s">
        <v>4437</v>
      </c>
      <c r="E37" s="305"/>
      <c r="F37" s="305" t="s">
        <v>4050</v>
      </c>
      <c r="G37" s="306"/>
    </row>
    <row r="38" spans="1:7" x14ac:dyDescent="0.35">
      <c r="A38" s="360"/>
      <c r="B38" s="360"/>
      <c r="C38" s="360"/>
      <c r="D38" s="372"/>
      <c r="E38" s="360"/>
      <c r="F38" s="360"/>
      <c r="G38" s="360"/>
    </row>
  </sheetData>
  <sheetProtection algorithmName="SHA-512" hashValue="QXvzB0ou9iEO//BduHq2uRRa/5bAoFDqKIfmmFK7xhiNEm3M0AQlofFd6j6/tB17cQ9+U5bemskMRZe6baiq3w==" saltValue="i/L1ICyNDPFqWFyT0hWlfQ==" spinCount="100000" sheet="1" objects="1" scenarios="1"/>
  <mergeCells count="1">
    <mergeCell ref="C3:G3"/>
  </mergeCell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88FAF-4F54-4094-8856-98B60D7BBC6F}">
  <sheetPr codeName="Hoja12">
    <tabColor rgb="FF002060"/>
  </sheetPr>
  <dimension ref="A3:F37"/>
  <sheetViews>
    <sheetView showGridLines="0" zoomScale="70" zoomScaleNormal="70" workbookViewId="0">
      <pane ySplit="5" topLeftCell="A6" activePane="bottomLeft" state="frozen"/>
      <selection pane="bottomLeft" activeCell="L14" sqref="L14"/>
    </sheetView>
  </sheetViews>
  <sheetFormatPr baseColWidth="10" defaultColWidth="11.453125" defaultRowHeight="14" x14ac:dyDescent="0.35"/>
  <cols>
    <col min="1" max="1" width="14.54296875" style="11" customWidth="1"/>
    <col min="2" max="2" width="10.453125" style="107" customWidth="1"/>
    <col min="3" max="3" width="120.54296875" style="107" customWidth="1"/>
    <col min="4" max="5" width="10.54296875" style="108" customWidth="1"/>
    <col min="6" max="6" width="20.54296875" style="73" customWidth="1"/>
    <col min="7" max="16384" width="11.453125" style="11"/>
  </cols>
  <sheetData>
    <row r="3" spans="1:6" ht="25.5" thickBot="1" x14ac:dyDescent="0.4">
      <c r="B3" s="406" t="s">
        <v>4376</v>
      </c>
      <c r="C3" s="406"/>
      <c r="D3" s="406"/>
      <c r="E3" s="406"/>
      <c r="F3" s="406"/>
    </row>
    <row r="4" spans="1:6" ht="14.5" thickTop="1" x14ac:dyDescent="0.35"/>
    <row r="5" spans="1:6" ht="34.5" x14ac:dyDescent="0.35">
      <c r="A5" s="239" t="s">
        <v>4041</v>
      </c>
      <c r="B5" s="263" t="s">
        <v>4120</v>
      </c>
      <c r="C5" s="263" t="s">
        <v>4044</v>
      </c>
      <c r="D5" s="258" t="s">
        <v>4121</v>
      </c>
      <c r="E5" s="258" t="s">
        <v>4046</v>
      </c>
      <c r="F5" s="258" t="s">
        <v>4047</v>
      </c>
    </row>
    <row r="6" spans="1:6" ht="56" x14ac:dyDescent="0.35">
      <c r="A6" s="241">
        <v>1</v>
      </c>
      <c r="B6" s="246">
        <v>1</v>
      </c>
      <c r="C6" s="247" t="s">
        <v>4377</v>
      </c>
      <c r="D6" s="248">
        <v>2</v>
      </c>
      <c r="E6" s="248"/>
      <c r="F6" s="249"/>
    </row>
    <row r="7" spans="1:6" ht="56" x14ac:dyDescent="0.35">
      <c r="A7" s="241">
        <v>2</v>
      </c>
      <c r="B7" s="246">
        <v>2</v>
      </c>
      <c r="C7" s="247" t="s">
        <v>4378</v>
      </c>
      <c r="D7" s="248">
        <v>3</v>
      </c>
      <c r="E7" s="248"/>
      <c r="F7" s="249"/>
    </row>
    <row r="8" spans="1:6" ht="56" x14ac:dyDescent="0.35">
      <c r="A8" s="241">
        <v>4</v>
      </c>
      <c r="B8" s="246">
        <v>3</v>
      </c>
      <c r="C8" s="247" t="s">
        <v>4379</v>
      </c>
      <c r="D8" s="248">
        <v>5</v>
      </c>
      <c r="E8" s="248"/>
      <c r="F8" s="249"/>
    </row>
    <row r="9" spans="1:6" ht="64.5" customHeight="1" x14ac:dyDescent="0.35">
      <c r="A9" s="241">
        <v>5</v>
      </c>
      <c r="B9" s="246">
        <v>4</v>
      </c>
      <c r="C9" s="250" t="s">
        <v>4410</v>
      </c>
      <c r="D9" s="248">
        <v>6</v>
      </c>
      <c r="E9" s="248"/>
      <c r="F9" s="249"/>
    </row>
    <row r="10" spans="1:6" ht="56" x14ac:dyDescent="0.35">
      <c r="A10" s="241">
        <v>6</v>
      </c>
      <c r="B10" s="246">
        <v>5</v>
      </c>
      <c r="C10" s="247" t="s">
        <v>4381</v>
      </c>
      <c r="D10" s="248">
        <v>7</v>
      </c>
      <c r="E10" s="248"/>
      <c r="F10" s="249"/>
    </row>
    <row r="11" spans="1:6" ht="42" x14ac:dyDescent="0.35">
      <c r="A11" s="241">
        <v>7</v>
      </c>
      <c r="B11" s="246">
        <v>6</v>
      </c>
      <c r="C11" s="247" t="s">
        <v>4382</v>
      </c>
      <c r="D11" s="248">
        <v>8</v>
      </c>
      <c r="E11" s="248"/>
      <c r="F11" s="249"/>
    </row>
    <row r="12" spans="1:6" ht="42" x14ac:dyDescent="0.35">
      <c r="A12" s="241">
        <v>8</v>
      </c>
      <c r="B12" s="246">
        <v>7</v>
      </c>
      <c r="C12" s="247" t="s">
        <v>4383</v>
      </c>
      <c r="D12" s="248">
        <v>9</v>
      </c>
      <c r="E12" s="248"/>
      <c r="F12" s="249"/>
    </row>
    <row r="13" spans="1:6" ht="42" x14ac:dyDescent="0.35">
      <c r="A13" s="241">
        <v>9</v>
      </c>
      <c r="B13" s="246">
        <v>8</v>
      </c>
      <c r="C13" s="247" t="s">
        <v>4384</v>
      </c>
      <c r="D13" s="248">
        <v>10</v>
      </c>
      <c r="E13" s="248"/>
      <c r="F13" s="249"/>
    </row>
    <row r="14" spans="1:6" ht="210" x14ac:dyDescent="0.35">
      <c r="A14" s="241">
        <v>10</v>
      </c>
      <c r="B14" s="246">
        <v>9</v>
      </c>
      <c r="C14" s="247" t="s">
        <v>4411</v>
      </c>
      <c r="D14" s="248">
        <v>11</v>
      </c>
      <c r="E14" s="248"/>
      <c r="F14" s="249"/>
    </row>
    <row r="15" spans="1:6" ht="155" x14ac:dyDescent="0.35">
      <c r="A15" s="241">
        <v>11</v>
      </c>
      <c r="B15" s="246">
        <v>10</v>
      </c>
      <c r="C15" s="247" t="s">
        <v>4412</v>
      </c>
      <c r="D15" s="248">
        <v>12</v>
      </c>
      <c r="E15" s="248"/>
      <c r="F15" s="249"/>
    </row>
    <row r="16" spans="1:6" ht="141" x14ac:dyDescent="0.35">
      <c r="A16" s="241">
        <v>12</v>
      </c>
      <c r="B16" s="246">
        <v>11</v>
      </c>
      <c r="C16" s="247" t="s">
        <v>4413</v>
      </c>
      <c r="D16" s="248">
        <v>13</v>
      </c>
      <c r="E16" s="248"/>
      <c r="F16" s="249"/>
    </row>
    <row r="17" spans="1:6" ht="70" x14ac:dyDescent="0.35">
      <c r="A17" s="241">
        <v>13</v>
      </c>
      <c r="B17" s="246">
        <v>12</v>
      </c>
      <c r="C17" s="247" t="s">
        <v>4414</v>
      </c>
      <c r="D17" s="248">
        <v>14</v>
      </c>
      <c r="E17" s="248"/>
      <c r="F17" s="249"/>
    </row>
    <row r="18" spans="1:6" ht="56" x14ac:dyDescent="0.35">
      <c r="A18" s="241">
        <v>15</v>
      </c>
      <c r="B18" s="246">
        <v>13</v>
      </c>
      <c r="C18" s="247" t="s">
        <v>4389</v>
      </c>
      <c r="D18" s="248">
        <v>16</v>
      </c>
      <c r="E18" s="248"/>
      <c r="F18" s="249"/>
    </row>
    <row r="19" spans="1:6" ht="56" x14ac:dyDescent="0.35">
      <c r="A19" s="241">
        <v>16</v>
      </c>
      <c r="B19" s="246">
        <v>14</v>
      </c>
      <c r="C19" s="247" t="s">
        <v>4390</v>
      </c>
      <c r="D19" s="248">
        <v>17</v>
      </c>
      <c r="E19" s="248"/>
      <c r="F19" s="249"/>
    </row>
    <row r="20" spans="1:6" ht="56" x14ac:dyDescent="0.35">
      <c r="A20" s="241">
        <v>17</v>
      </c>
      <c r="B20" s="246">
        <v>15</v>
      </c>
      <c r="C20" s="247" t="s">
        <v>4391</v>
      </c>
      <c r="D20" s="248">
        <v>18</v>
      </c>
      <c r="E20" s="248"/>
      <c r="F20" s="249"/>
    </row>
    <row r="21" spans="1:6" ht="56" x14ac:dyDescent="0.35">
      <c r="A21" s="241">
        <v>18</v>
      </c>
      <c r="B21" s="246">
        <v>16</v>
      </c>
      <c r="C21" s="247" t="s">
        <v>4392</v>
      </c>
      <c r="D21" s="248">
        <v>19</v>
      </c>
      <c r="E21" s="248"/>
      <c r="F21" s="249"/>
    </row>
    <row r="22" spans="1:6" ht="56" x14ac:dyDescent="0.35">
      <c r="A22" s="241">
        <v>19</v>
      </c>
      <c r="B22" s="246">
        <v>17</v>
      </c>
      <c r="C22" s="251" t="s">
        <v>4415</v>
      </c>
      <c r="D22" s="248">
        <v>20</v>
      </c>
      <c r="E22" s="248"/>
      <c r="F22" s="249"/>
    </row>
    <row r="23" spans="1:6" ht="56" x14ac:dyDescent="0.35">
      <c r="A23" s="241">
        <v>20</v>
      </c>
      <c r="B23" s="246">
        <v>18</v>
      </c>
      <c r="C23" s="251" t="s">
        <v>4416</v>
      </c>
      <c r="D23" s="248">
        <v>21</v>
      </c>
      <c r="E23" s="248"/>
      <c r="F23" s="249"/>
    </row>
    <row r="24" spans="1:6" ht="42" x14ac:dyDescent="0.35">
      <c r="A24" s="241">
        <v>21</v>
      </c>
      <c r="B24" s="246">
        <v>19</v>
      </c>
      <c r="C24" s="251" t="s">
        <v>4395</v>
      </c>
      <c r="D24" s="248">
        <v>22</v>
      </c>
      <c r="E24" s="248"/>
      <c r="F24" s="249"/>
    </row>
    <row r="25" spans="1:6" ht="81.75" customHeight="1" x14ac:dyDescent="0.35">
      <c r="A25" s="241">
        <v>22</v>
      </c>
      <c r="B25" s="246">
        <v>20</v>
      </c>
      <c r="C25" s="252" t="s">
        <v>4417</v>
      </c>
      <c r="D25" s="253"/>
      <c r="E25" s="253" t="s">
        <v>4050</v>
      </c>
      <c r="F25" s="253"/>
    </row>
    <row r="26" spans="1:6" ht="26.15" customHeight="1" x14ac:dyDescent="0.35">
      <c r="A26" s="241">
        <v>150</v>
      </c>
      <c r="B26" s="287">
        <v>21</v>
      </c>
      <c r="C26" s="202" t="s">
        <v>4397</v>
      </c>
      <c r="D26" s="200"/>
      <c r="E26" s="200" t="s">
        <v>4050</v>
      </c>
      <c r="F26" s="201"/>
    </row>
    <row r="27" spans="1:6" ht="26.15" customHeight="1" x14ac:dyDescent="0.35">
      <c r="A27" s="241" t="s">
        <v>4418</v>
      </c>
      <c r="B27" s="287">
        <v>22</v>
      </c>
      <c r="C27" s="202" t="s">
        <v>4398</v>
      </c>
      <c r="D27" s="200"/>
      <c r="E27" s="200" t="s">
        <v>4050</v>
      </c>
      <c r="F27" s="201"/>
    </row>
    <row r="28" spans="1:6" ht="26.15" customHeight="1" x14ac:dyDescent="0.35">
      <c r="A28" s="241" t="s">
        <v>4418</v>
      </c>
      <c r="B28" s="287">
        <v>23</v>
      </c>
      <c r="C28" s="202" t="s">
        <v>4399</v>
      </c>
      <c r="D28" s="200"/>
      <c r="E28" s="200" t="s">
        <v>4050</v>
      </c>
      <c r="F28" s="200"/>
    </row>
    <row r="29" spans="1:6" ht="26.15" customHeight="1" x14ac:dyDescent="0.35">
      <c r="A29" s="241" t="s">
        <v>4418</v>
      </c>
      <c r="B29" s="287">
        <v>24</v>
      </c>
      <c r="C29" s="202" t="s">
        <v>4400</v>
      </c>
      <c r="D29" s="200"/>
      <c r="E29" s="200" t="s">
        <v>4050</v>
      </c>
      <c r="F29" s="200"/>
    </row>
    <row r="30" spans="1:6" ht="29.9" customHeight="1" x14ac:dyDescent="0.35">
      <c r="A30" s="241" t="s">
        <v>4418</v>
      </c>
      <c r="B30" s="287">
        <v>25</v>
      </c>
      <c r="C30" s="202" t="s">
        <v>4401</v>
      </c>
      <c r="D30" s="200"/>
      <c r="E30" s="200" t="s">
        <v>4050</v>
      </c>
      <c r="F30" s="201"/>
    </row>
    <row r="31" spans="1:6" x14ac:dyDescent="0.35">
      <c r="C31" s="137"/>
    </row>
    <row r="37" ht="66" customHeight="1" x14ac:dyDescent="0.35"/>
  </sheetData>
  <sheetProtection algorithmName="SHA-512" hashValue="PIkzqG3TsYmIKGp3TZJr2Wbik4yjF7hbCi81A8wVex4XKFUui95rtsiFpaMAjgOPRsGkeAaLy/bBwz5GsKmG2Q==" saltValue="rEJezQWanWPqTXYuda2pFA==" spinCount="100000" sheet="1" formatCells="0" formatColumns="0" formatRows="0" insertHyperlinks="0" autoFilter="0"/>
  <mergeCells count="1">
    <mergeCell ref="B3:F3"/>
  </mergeCells>
  <pageMargins left="0.7" right="0.7" top="0.75" bottom="0.75" header="0.3" footer="0.3"/>
  <pageSetup orientation="portrait" r:id="rId1"/>
  <headerFooter>
    <oddFooter>&amp;C&amp;1#&amp;"Calibri"&amp;10&amp;K000000Uso Interno</oddFooter>
  </headerFooter>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EACCEB66DA4FC4D80A0901253B31CEC" ma:contentTypeVersion="5" ma:contentTypeDescription="Create a new document." ma:contentTypeScope="" ma:versionID="b8dccbaa24f0aeb2242773decebe7d37">
  <xsd:schema xmlns:xsd="http://www.w3.org/2001/XMLSchema" xmlns:xs="http://www.w3.org/2001/XMLSchema" xmlns:p="http://schemas.microsoft.com/office/2006/metadata/properties" xmlns:ns2="204a6063-f1b8-472b-9d66-89db56732937" xmlns:ns3="8b3f948d-6cd4-4a29-8866-8097d7c3bdb6" targetNamespace="http://schemas.microsoft.com/office/2006/metadata/properties" ma:root="true" ma:fieldsID="be0e3b311a1cce1c7a482ba33a2a2c68" ns2:_="" ns3:_="">
    <xsd:import namespace="204a6063-f1b8-472b-9d66-89db56732937"/>
    <xsd:import namespace="8b3f948d-6cd4-4a29-8866-8097d7c3bdb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4a6063-f1b8-472b-9d66-89db567329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3f948d-6cd4-4a29-8866-8097d7c3bdb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B95F9D7-BE2E-40D2-BEAE-D16761D28DEC}">
  <ds:schemaRefs>
    <ds:schemaRef ds:uri="http://schemas.microsoft.com/sharepoint/v3/contenttype/forms"/>
  </ds:schemaRefs>
</ds:datastoreItem>
</file>

<file path=customXml/itemProps2.xml><?xml version="1.0" encoding="utf-8"?>
<ds:datastoreItem xmlns:ds="http://schemas.openxmlformats.org/officeDocument/2006/customXml" ds:itemID="{937DD0AD-2698-42EE-9E0B-A4B77B0D4B87}">
  <ds:schemaRefs>
    <ds:schemaRef ds:uri="http://www.w3.org/XML/1998/namespace"/>
    <ds:schemaRef ds:uri="http://purl.org/dc/terms/"/>
    <ds:schemaRef ds:uri="http://schemas.microsoft.com/office/2006/documentManagement/types"/>
    <ds:schemaRef ds:uri="http://purl.org/dc/dcmitype/"/>
    <ds:schemaRef ds:uri="http://purl.org/dc/elements/1.1/"/>
    <ds:schemaRef ds:uri="http://schemas.microsoft.com/office/infopath/2007/PartnerControls"/>
    <ds:schemaRef ds:uri="http://schemas.microsoft.com/office/2006/metadata/properties"/>
    <ds:schemaRef ds:uri="http://schemas.openxmlformats.org/package/2006/metadata/core-properties"/>
    <ds:schemaRef ds:uri="8b3f948d-6cd4-4a29-8866-8097d7c3bdb6"/>
    <ds:schemaRef ds:uri="204a6063-f1b8-472b-9d66-89db56732937"/>
  </ds:schemaRefs>
</ds:datastoreItem>
</file>

<file path=customXml/itemProps3.xml><?xml version="1.0" encoding="utf-8"?>
<ds:datastoreItem xmlns:ds="http://schemas.openxmlformats.org/officeDocument/2006/customXml" ds:itemID="{C4003439-7C50-48C9-9EB4-E9E3E5B26D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4a6063-f1b8-472b-9d66-89db56732937"/>
    <ds:schemaRef ds:uri="8b3f948d-6cd4-4a29-8866-8097d7c3bd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62</vt:i4>
      </vt:variant>
    </vt:vector>
  </HeadingPairs>
  <TitlesOfParts>
    <vt:vector size="86" baseType="lpstr">
      <vt:lpstr>Control Cambios_p_public_ V (2)</vt:lpstr>
      <vt:lpstr>Indice Archivos</vt:lpstr>
      <vt:lpstr>CtrlCambios_vrs_ 6</vt:lpstr>
      <vt:lpstr>01_Generalidades_Estructura</vt:lpstr>
      <vt:lpstr>01_Generalidades_Campos</vt:lpstr>
      <vt:lpstr>01_Generalidades_Validaciones</vt:lpstr>
      <vt:lpstr>5201_Polizas_Estructura</vt:lpstr>
      <vt:lpstr>5201_Polizas Descripcion</vt:lpstr>
      <vt:lpstr>5201_Polizas Validaciones</vt:lpstr>
      <vt:lpstr>5202_Cartas Credito_Estructura</vt:lpstr>
      <vt:lpstr>5202_Cartas Credito_Descripcion</vt:lpstr>
      <vt:lpstr>5202_Cartas Credito_Validac </vt:lpstr>
      <vt:lpstr>5203_Cedidas_Estructura</vt:lpstr>
      <vt:lpstr>5203_Cedidas_Descripcion</vt:lpstr>
      <vt:lpstr>5203_Cedidas_Validaciones</vt:lpstr>
      <vt:lpstr>5204_Fiduciarias_Estructura</vt:lpstr>
      <vt:lpstr>5204_Fiduciarias_Descripcion</vt:lpstr>
      <vt:lpstr>5204_Fiduciarias_Validaciones</vt:lpstr>
      <vt:lpstr>5205_Reales_Estructura</vt:lpstr>
      <vt:lpstr>5205_Reales_Descripcion</vt:lpstr>
      <vt:lpstr>5205_Reales_Validaciones</vt:lpstr>
      <vt:lpstr>5206_Valores Estructura</vt:lpstr>
      <vt:lpstr>5206_Valores_Descripcion</vt:lpstr>
      <vt:lpstr>5206_Valores_Validaciones</vt:lpstr>
      <vt:lpstr>TIPO_COLATERAL_REAL!_Toc100318374</vt:lpstr>
      <vt:lpstr>TIPO_COLATERAL_FINANCIERO!_Toc100318375</vt:lpstr>
      <vt:lpstr>ARCHIVO</vt:lpstr>
      <vt:lpstr>CALIFICACIONES_CP</vt:lpstr>
      <vt:lpstr>CALIFICACIONES_LP</vt:lpstr>
      <vt:lpstr>CLASE_DATO</vt:lpstr>
      <vt:lpstr>COMPORTAMIENTO_PAGO_SBD</vt:lpstr>
      <vt:lpstr>ETAPA</vt:lpstr>
      <vt:lpstr>SECTOR_ECONOMICO</vt:lpstr>
      <vt:lpstr>TIPO_ACTIVIDAD_ECONOMICA</vt:lpstr>
      <vt:lpstr>TIPO_ACTIVIDADES_CAMBIO_CLIMATICO</vt:lpstr>
      <vt:lpstr>TIPO_ADQUISICION_BIEN</vt:lpstr>
      <vt:lpstr>TIPO_AMBITO_CAMBIO_CLIMATICO</vt:lpstr>
      <vt:lpstr>TIPO_ASIGNACION_CALIFICACION</vt:lpstr>
      <vt:lpstr>TIPO_BENEFICIARIO_SBD</vt:lpstr>
      <vt:lpstr>TIPO_BIEN</vt:lpstr>
      <vt:lpstr>TIPO_CANTON</vt:lpstr>
      <vt:lpstr>TIPO_CAPACIDAD_PAGO</vt:lpstr>
      <vt:lpstr>TIPO_CARGA_CLASE_DATO</vt:lpstr>
      <vt:lpstr>TIPO_CATALOGO</vt:lpstr>
      <vt:lpstr>TIPO_CATEGORIA_RIESGO_MICROCREDITO_SBD</vt:lpstr>
      <vt:lpstr>TIPO_CATEGORIA_RIESGO_SBD</vt:lpstr>
      <vt:lpstr>TIPO_CLASIFICACION_INSTRUMENTO</vt:lpstr>
      <vt:lpstr>TIPO_COLATERAL_REAL</vt:lpstr>
      <vt:lpstr>TIPO_COMPORTAMIENTO_PAGO</vt:lpstr>
      <vt:lpstr>TIPO_CONDICIONES_ESPECIALES_DEUDOR</vt:lpstr>
      <vt:lpstr>TIPO_CUOTA</vt:lpstr>
      <vt:lpstr>TIPO_CUOTA_PRINCIPAL</vt:lpstr>
      <vt:lpstr>TIPO_DEPENDENCIA</vt:lpstr>
      <vt:lpstr>TIPO_DEUDOR_SFN</vt:lpstr>
      <vt:lpstr>TIPO_DISTRITO</vt:lpstr>
      <vt:lpstr>TIPO_DOCUMENTO_LEGAL</vt:lpstr>
      <vt:lpstr>TIPO_ENFOQUE</vt:lpstr>
      <vt:lpstr>TIPO_ESTADO_OPERACION</vt:lpstr>
      <vt:lpstr>TIPO_FUENTE_FINANCIAMIENTO</vt:lpstr>
      <vt:lpstr>TIPO_FUENTE_FINANCIAMIENTO_CAMBIO_CLIMATICO</vt:lpstr>
      <vt:lpstr>TIPO_GARANTIA</vt:lpstr>
      <vt:lpstr>TIPO_GRADO_GRAVAMENES</vt:lpstr>
      <vt:lpstr>TIPO_INDICADOR_GENERADOR_DIVISAS</vt:lpstr>
      <vt:lpstr>TIPO_INDICADOR_GENERADOR_DIVISAS_SBD</vt:lpstr>
      <vt:lpstr>TIPO_INDICADOR_INSCRIPCION</vt:lpstr>
      <vt:lpstr>TIPO_INGRESO_DEUDOR</vt:lpstr>
      <vt:lpstr>TIPO_INTERES_REFERENCIA_TASA_VARIABLE</vt:lpstr>
      <vt:lpstr>TIPO_MITIGADOR_RIESGO</vt:lpstr>
      <vt:lpstr>TIPO_MODALIDAD_FUENTE_FINANCIAMIENTO</vt:lpstr>
      <vt:lpstr>TIPO_MODIFICACION_OPERACION</vt:lpstr>
      <vt:lpstr>TIPO_MOTIVO_BIEN_REALIZABLE_NO_REPORTADO</vt:lpstr>
      <vt:lpstr>TIPO_MOTIVO_OPERACION_ESPECIAL</vt:lpstr>
      <vt:lpstr>TIPO_NATURALEZA_GASTO</vt:lpstr>
      <vt:lpstr>TIPO_OPERACION</vt:lpstr>
      <vt:lpstr>TIPO_OPERACION_SFN</vt:lpstr>
      <vt:lpstr>TIPO_ORIGEN_RECURSOS</vt:lpstr>
      <vt:lpstr>TIPO_PERIODICIDAD</vt:lpstr>
      <vt:lpstr>TIPO_PERSONA</vt:lpstr>
      <vt:lpstr>TIPO_POLIZA</vt:lpstr>
      <vt:lpstr>TIPO_PROGRAMA_AUTORIZADO_SBD</vt:lpstr>
      <vt:lpstr>TIPO_PROVINCIA</vt:lpstr>
      <vt:lpstr>TIPO_RIESGO_CAMBIARIO_DEUDOR</vt:lpstr>
      <vt:lpstr>TIPO_SECTOR_PRIORITARIO_DEUDOR_SBD</vt:lpstr>
      <vt:lpstr>TIPO_SEGMENTO</vt:lpstr>
      <vt:lpstr>TIPO_SUBTEMAS_CAMBIO_CLIMATICO</vt:lpstr>
      <vt:lpstr>TIPO_TEMA_CAMBIO_CLIMÁTICO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SEQUEIRA DITTEL PABLO</dc:creator>
  <cp:keywords/>
  <dc:description/>
  <cp:lastModifiedBy>SANCHEZ CERDAS RODOLFO</cp:lastModifiedBy>
  <cp:revision/>
  <dcterms:created xsi:type="dcterms:W3CDTF">2022-02-16T22:47:35Z</dcterms:created>
  <dcterms:modified xsi:type="dcterms:W3CDTF">2025-05-05T17:07:15Z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0x010100FEACCEB66DA4FC4D80A0901253B31CEC</vt:lpwstr>
  </property>
  <property fmtid="{D5CDD505-2E9C-101B-9397-08002B2CF9AE}" pid="3" name="MSIP_Label_b8b4be34-365a-4a68-b9fb-75c1b6874315_Enabled">
    <vt:lpwstr>true</vt:lpwstr>
  </property>
  <property fmtid="{D5CDD505-2E9C-101B-9397-08002B2CF9AE}" pid="4" name="MSIP_Label_b8b4be34-365a-4a68-b9fb-75c1b6874315_SetDate">
    <vt:lpwstr>2024-02-27T20:46:32Z</vt:lpwstr>
  </property>
  <property fmtid="{D5CDD505-2E9C-101B-9397-08002B2CF9AE}" pid="5" name="MSIP_Label_b8b4be34-365a-4a68-b9fb-75c1b6874315_Method">
    <vt:lpwstr>Standard</vt:lpwstr>
  </property>
  <property fmtid="{D5CDD505-2E9C-101B-9397-08002B2CF9AE}" pid="6" name="MSIP_Label_b8b4be34-365a-4a68-b9fb-75c1b6874315_Name">
    <vt:lpwstr>b8b4be34-365a-4a68-b9fb-75c1b6874315</vt:lpwstr>
  </property>
  <property fmtid="{D5CDD505-2E9C-101B-9397-08002B2CF9AE}" pid="7" name="MSIP_Label_b8b4be34-365a-4a68-b9fb-75c1b6874315_SiteId">
    <vt:lpwstr>618d0a45-25a6-4618-9f80-8f70a435ee52</vt:lpwstr>
  </property>
  <property fmtid="{D5CDD505-2E9C-101B-9397-08002B2CF9AE}" pid="8" name="MSIP_Label_b8b4be34-365a-4a68-b9fb-75c1b6874315_ActionId">
    <vt:lpwstr>adcbe049-5976-4fd2-b0b0-030de20a8e3d</vt:lpwstr>
  </property>
  <property fmtid="{D5CDD505-2E9C-101B-9397-08002B2CF9AE}" pid="9" name="MSIP_Label_b8b4be34-365a-4a68-b9fb-75c1b6874315_ContentBits">
    <vt:lpwstr>2</vt:lpwstr>
  </property>
</Properties>
</file>